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esktop\"/>
    </mc:Choice>
  </mc:AlternateContent>
  <xr:revisionPtr revIDLastSave="0" documentId="8_{CF91A60F-DC1A-456D-BA90-481BDC837AAE}" xr6:coauthVersionLast="47" xr6:coauthVersionMax="47" xr10:uidLastSave="{00000000-0000-0000-0000-000000000000}"/>
  <bookViews>
    <workbookView xWindow="2730" yWindow="2730" windowWidth="21600" windowHeight="11265" xr2:uid="{00000000-000D-0000-FFFF-FFFF00000000}"/>
  </bookViews>
  <sheets>
    <sheet name="met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y8ynaJ1FE3Y/NIjJyxgqFut5DAenpQhPrFRZz5ITd14="/>
    </ext>
  </extLst>
</workbook>
</file>

<file path=xl/calcChain.xml><?xml version="1.0" encoding="utf-8"?>
<calcChain xmlns="http://schemas.openxmlformats.org/spreadsheetml/2006/main">
  <c r="E1117" i="1" l="1"/>
  <c r="E1116" i="1"/>
  <c r="E1115" i="1"/>
  <c r="E1109" i="1"/>
  <c r="E1098" i="1"/>
  <c r="E933" i="1"/>
  <c r="E932" i="1"/>
  <c r="E915" i="1"/>
  <c r="E914" i="1"/>
  <c r="E869" i="1"/>
  <c r="E868" i="1"/>
  <c r="E867" i="1"/>
  <c r="E859" i="1"/>
  <c r="E856" i="1"/>
  <c r="E855" i="1"/>
  <c r="E854" i="1"/>
  <c r="E853" i="1"/>
  <c r="E852" i="1"/>
  <c r="E850" i="1"/>
  <c r="E849" i="1"/>
  <c r="E848" i="1"/>
  <c r="E847" i="1"/>
  <c r="E583" i="1"/>
  <c r="E582" i="1"/>
  <c r="E581" i="1"/>
  <c r="E580" i="1"/>
  <c r="E579" i="1"/>
  <c r="E577" i="1"/>
  <c r="E576" i="1"/>
  <c r="E574" i="1"/>
  <c r="E553" i="1"/>
  <c r="E552" i="1"/>
  <c r="E551" i="1"/>
  <c r="E540" i="1"/>
  <c r="E539" i="1"/>
  <c r="E538" i="1"/>
  <c r="E522" i="1"/>
  <c r="E455" i="1"/>
  <c r="E263" i="1"/>
  <c r="E262" i="1"/>
  <c r="E231" i="1"/>
  <c r="E94" i="1"/>
  <c r="E52" i="1"/>
  <c r="E1114" i="1"/>
  <c r="E1113" i="1"/>
  <c r="E1112" i="1"/>
  <c r="E1087" i="1"/>
  <c r="E1086" i="1"/>
  <c r="E1085" i="1"/>
  <c r="E1043" i="1"/>
  <c r="E1041" i="1"/>
  <c r="E1039" i="1"/>
  <c r="E1031" i="1"/>
  <c r="E1029" i="1"/>
  <c r="E921" i="1"/>
  <c r="E920" i="1"/>
  <c r="E912" i="1"/>
  <c r="E911" i="1"/>
  <c r="E910" i="1"/>
  <c r="E902" i="1"/>
  <c r="E900" i="1"/>
  <c r="E899" i="1"/>
  <c r="E898" i="1"/>
  <c r="E897" i="1"/>
  <c r="E892" i="1"/>
  <c r="E891" i="1"/>
  <c r="E878" i="1"/>
  <c r="E863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1" i="1"/>
  <c r="E640" i="1"/>
  <c r="E639" i="1"/>
  <c r="E638" i="1"/>
  <c r="E634" i="1"/>
  <c r="E633" i="1"/>
  <c r="E632" i="1"/>
  <c r="E631" i="1"/>
  <c r="E630" i="1"/>
  <c r="E629" i="1"/>
  <c r="E628" i="1"/>
  <c r="E627" i="1"/>
  <c r="E626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2" i="1"/>
  <c r="E601" i="1"/>
  <c r="E600" i="1"/>
  <c r="E598" i="1"/>
  <c r="E593" i="1"/>
  <c r="E592" i="1"/>
  <c r="E591" i="1"/>
  <c r="E588" i="1"/>
  <c r="E572" i="1"/>
  <c r="E571" i="1"/>
  <c r="E442" i="1"/>
  <c r="E20" i="1"/>
  <c r="E19" i="1"/>
  <c r="E18" i="1"/>
  <c r="E17" i="1"/>
  <c r="E16" i="1"/>
  <c r="E15" i="1"/>
  <c r="E14" i="1"/>
  <c r="E13" i="1"/>
  <c r="E5" i="1"/>
  <c r="E303" i="1"/>
  <c r="E1055" i="1"/>
  <c r="E1030" i="1"/>
  <c r="E968" i="1"/>
  <c r="E963" i="1"/>
  <c r="E959" i="1"/>
  <c r="E954" i="1"/>
  <c r="E946" i="1"/>
  <c r="E945" i="1"/>
  <c r="E939" i="1"/>
  <c r="E908" i="1"/>
  <c r="E893" i="1"/>
  <c r="E881" i="1"/>
  <c r="E872" i="1"/>
  <c r="E823" i="1"/>
  <c r="E819" i="1"/>
  <c r="E817" i="1"/>
  <c r="E811" i="1"/>
  <c r="E809" i="1"/>
  <c r="E804" i="1"/>
  <c r="E802" i="1"/>
  <c r="E792" i="1"/>
  <c r="E772" i="1"/>
  <c r="E771" i="1"/>
  <c r="E763" i="1"/>
  <c r="E727" i="1"/>
  <c r="E724" i="1"/>
  <c r="E714" i="1"/>
  <c r="E688" i="1"/>
  <c r="E683" i="1"/>
  <c r="E681" i="1"/>
  <c r="E680" i="1"/>
  <c r="E677" i="1"/>
  <c r="E619" i="1"/>
  <c r="E595" i="1"/>
  <c r="E376" i="1"/>
  <c r="E369" i="1"/>
  <c r="E363" i="1"/>
  <c r="E364" i="1"/>
  <c r="E356" i="1"/>
  <c r="E354" i="1"/>
  <c r="E353" i="1"/>
  <c r="E342" i="1"/>
  <c r="E307" i="1"/>
  <c r="E305" i="1"/>
  <c r="E284" i="1"/>
  <c r="E283" i="1"/>
  <c r="E187" i="1"/>
  <c r="E185" i="1"/>
  <c r="E177" i="1"/>
  <c r="E169" i="1"/>
  <c r="E66" i="1"/>
  <c r="E168" i="1"/>
  <c r="E140" i="1"/>
  <c r="E73" i="1"/>
  <c r="E57" i="1"/>
  <c r="E990" i="1"/>
  <c r="E904" i="1"/>
  <c r="E842" i="1"/>
  <c r="E425" i="1"/>
  <c r="E953" i="1"/>
  <c r="E952" i="1"/>
  <c r="E944" i="1"/>
  <c r="E943" i="1"/>
  <c r="E942" i="1"/>
  <c r="E84" i="1"/>
  <c r="E83" i="1"/>
  <c r="E82" i="1"/>
  <c r="E81" i="1"/>
  <c r="E80" i="1"/>
  <c r="E69" i="1"/>
  <c r="E61" i="1"/>
  <c r="E60" i="1"/>
  <c r="E59" i="1"/>
  <c r="E58" i="1"/>
  <c r="E62" i="1"/>
  <c r="E1126" i="1"/>
  <c r="E1125" i="1"/>
  <c r="E1124" i="1"/>
  <c r="E1123" i="1"/>
  <c r="E1122" i="1"/>
  <c r="E1121" i="1"/>
  <c r="E1120" i="1"/>
  <c r="E1119" i="1"/>
  <c r="E1118" i="1"/>
  <c r="E1111" i="1"/>
  <c r="E1110" i="1"/>
  <c r="E1108" i="1"/>
  <c r="E1107" i="1"/>
  <c r="E1106" i="1"/>
  <c r="E1105" i="1"/>
  <c r="E1104" i="1"/>
  <c r="E1103" i="1"/>
  <c r="E1102" i="1"/>
  <c r="E1101" i="1"/>
  <c r="E1100" i="1"/>
  <c r="E1099" i="1"/>
  <c r="E1097" i="1"/>
  <c r="E1096" i="1"/>
  <c r="E1095" i="1"/>
  <c r="E1094" i="1"/>
  <c r="E1093" i="1"/>
  <c r="E1092" i="1"/>
  <c r="E1091" i="1"/>
  <c r="E1090" i="1"/>
  <c r="E1089" i="1"/>
  <c r="E1088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4" i="1"/>
  <c r="E1053" i="1"/>
  <c r="E1052" i="1"/>
  <c r="E1051" i="1"/>
  <c r="E1050" i="1"/>
  <c r="E1049" i="1"/>
  <c r="E1048" i="1"/>
  <c r="E1047" i="1"/>
  <c r="E1046" i="1"/>
  <c r="E1045" i="1"/>
  <c r="E1044" i="1"/>
  <c r="E1042" i="1"/>
  <c r="E1040" i="1"/>
  <c r="E1038" i="1"/>
  <c r="E1037" i="1"/>
  <c r="E1036" i="1"/>
  <c r="E1035" i="1"/>
  <c r="E1034" i="1"/>
  <c r="E1033" i="1"/>
  <c r="E1032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7" i="1"/>
  <c r="E966" i="1"/>
  <c r="E965" i="1"/>
  <c r="E964" i="1"/>
  <c r="E962" i="1"/>
  <c r="E961" i="1"/>
  <c r="E960" i="1"/>
  <c r="E958" i="1"/>
  <c r="E957" i="1"/>
  <c r="E956" i="1"/>
  <c r="E955" i="1"/>
  <c r="E951" i="1"/>
  <c r="E950" i="1"/>
  <c r="E949" i="1"/>
  <c r="E948" i="1"/>
  <c r="E947" i="1"/>
  <c r="E941" i="1"/>
  <c r="E940" i="1"/>
  <c r="E938" i="1"/>
  <c r="E937" i="1"/>
  <c r="E936" i="1"/>
  <c r="E935" i="1"/>
  <c r="E934" i="1"/>
  <c r="E931" i="1"/>
  <c r="E930" i="1"/>
  <c r="E929" i="1"/>
  <c r="E928" i="1"/>
  <c r="E927" i="1"/>
  <c r="E926" i="1"/>
  <c r="E925" i="1"/>
  <c r="E924" i="1"/>
  <c r="E923" i="1"/>
  <c r="E922" i="1"/>
  <c r="E919" i="1"/>
  <c r="E918" i="1"/>
  <c r="E917" i="1"/>
  <c r="E916" i="1"/>
  <c r="E913" i="1"/>
  <c r="E909" i="1"/>
  <c r="E907" i="1"/>
  <c r="E906" i="1"/>
  <c r="E905" i="1"/>
  <c r="E903" i="1"/>
  <c r="E901" i="1"/>
  <c r="E896" i="1"/>
  <c r="E895" i="1"/>
  <c r="E894" i="1"/>
  <c r="E890" i="1"/>
  <c r="E889" i="1"/>
  <c r="E888" i="1"/>
  <c r="E887" i="1"/>
  <c r="E886" i="1"/>
  <c r="E885" i="1"/>
  <c r="E884" i="1"/>
  <c r="E883" i="1"/>
  <c r="E882" i="1"/>
  <c r="E880" i="1"/>
  <c r="E879" i="1"/>
  <c r="E877" i="1"/>
  <c r="E876" i="1"/>
  <c r="E875" i="1"/>
  <c r="E874" i="1"/>
  <c r="E873" i="1"/>
  <c r="E871" i="1"/>
  <c r="E870" i="1"/>
  <c r="E866" i="1"/>
  <c r="E865" i="1"/>
  <c r="E864" i="1"/>
  <c r="E862" i="1"/>
  <c r="E861" i="1"/>
  <c r="E860" i="1"/>
  <c r="E858" i="1"/>
  <c r="E857" i="1"/>
  <c r="E851" i="1"/>
  <c r="E846" i="1"/>
  <c r="E845" i="1"/>
  <c r="E843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2" i="1"/>
  <c r="E821" i="1"/>
  <c r="E820" i="1"/>
  <c r="E818" i="1"/>
  <c r="E816" i="1"/>
  <c r="E815" i="1"/>
  <c r="E814" i="1"/>
  <c r="E813" i="1"/>
  <c r="E812" i="1"/>
  <c r="E810" i="1"/>
  <c r="E808" i="1"/>
  <c r="E807" i="1"/>
  <c r="E806" i="1"/>
  <c r="E805" i="1"/>
  <c r="E803" i="1"/>
  <c r="E801" i="1"/>
  <c r="E800" i="1"/>
  <c r="E799" i="1"/>
  <c r="E798" i="1"/>
  <c r="E797" i="1"/>
  <c r="E796" i="1"/>
  <c r="E795" i="1"/>
  <c r="E794" i="1"/>
  <c r="E793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0" i="1"/>
  <c r="E769" i="1"/>
  <c r="E768" i="1"/>
  <c r="E767" i="1"/>
  <c r="E766" i="1"/>
  <c r="E765" i="1"/>
  <c r="E764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6" i="1"/>
  <c r="E725" i="1"/>
  <c r="E723" i="1"/>
  <c r="E722" i="1"/>
  <c r="E721" i="1"/>
  <c r="E720" i="1"/>
  <c r="E719" i="1"/>
  <c r="E718" i="1"/>
  <c r="E717" i="1"/>
  <c r="E716" i="1"/>
  <c r="E715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7" i="1"/>
  <c r="E686" i="1"/>
  <c r="E685" i="1"/>
  <c r="E684" i="1"/>
  <c r="E682" i="1"/>
  <c r="E679" i="1"/>
  <c r="E678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42" i="1"/>
  <c r="E637" i="1"/>
  <c r="E636" i="1"/>
  <c r="E635" i="1"/>
  <c r="E625" i="1"/>
  <c r="E624" i="1"/>
  <c r="E623" i="1"/>
  <c r="E622" i="1"/>
  <c r="E621" i="1"/>
  <c r="E620" i="1"/>
  <c r="E618" i="1"/>
  <c r="E617" i="1"/>
  <c r="E603" i="1"/>
  <c r="E599" i="1"/>
  <c r="E597" i="1"/>
  <c r="E596" i="1"/>
  <c r="E594" i="1"/>
  <c r="E590" i="1"/>
  <c r="E589" i="1"/>
  <c r="E587" i="1"/>
  <c r="E586" i="1"/>
  <c r="E585" i="1"/>
  <c r="E584" i="1"/>
  <c r="E578" i="1"/>
  <c r="E575" i="1"/>
  <c r="E573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0" i="1"/>
  <c r="E549" i="1"/>
  <c r="E548" i="1"/>
  <c r="E547" i="1"/>
  <c r="E546" i="1"/>
  <c r="E545" i="1"/>
  <c r="E544" i="1"/>
  <c r="E543" i="1"/>
  <c r="E542" i="1"/>
  <c r="E541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5" i="1"/>
  <c r="E374" i="1"/>
  <c r="E373" i="1"/>
  <c r="E372" i="1"/>
  <c r="E371" i="1"/>
  <c r="E370" i="1"/>
  <c r="E368" i="1"/>
  <c r="E367" i="1"/>
  <c r="E366" i="1"/>
  <c r="E365" i="1"/>
  <c r="E362" i="1"/>
  <c r="E361" i="1"/>
  <c r="E360" i="1"/>
  <c r="E359" i="1"/>
  <c r="E358" i="1"/>
  <c r="E357" i="1"/>
  <c r="E355" i="1"/>
  <c r="E352" i="1"/>
  <c r="E351" i="1"/>
  <c r="E350" i="1"/>
  <c r="E349" i="1"/>
  <c r="E348" i="1"/>
  <c r="E347" i="1"/>
  <c r="E346" i="1"/>
  <c r="E345" i="1"/>
  <c r="E344" i="1"/>
  <c r="E343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6" i="1"/>
  <c r="E304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6" i="1"/>
  <c r="E184" i="1"/>
  <c r="E183" i="1"/>
  <c r="E182" i="1"/>
  <c r="E181" i="1"/>
  <c r="E180" i="1"/>
  <c r="E179" i="1"/>
  <c r="E178" i="1"/>
  <c r="E176" i="1"/>
  <c r="E175" i="1"/>
  <c r="E174" i="1"/>
  <c r="E173" i="1"/>
  <c r="E172" i="1"/>
  <c r="E171" i="1"/>
  <c r="E170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3" i="1"/>
  <c r="E92" i="1"/>
  <c r="E91" i="1"/>
  <c r="E90" i="1"/>
  <c r="E89" i="1"/>
  <c r="E88" i="1"/>
  <c r="E87" i="1"/>
  <c r="E86" i="1"/>
  <c r="E85" i="1"/>
  <c r="E79" i="1"/>
  <c r="E78" i="1"/>
  <c r="E77" i="1"/>
  <c r="E76" i="1"/>
  <c r="E75" i="1"/>
  <c r="E74" i="1"/>
  <c r="E72" i="1"/>
  <c r="E71" i="1"/>
  <c r="E70" i="1"/>
  <c r="E68" i="1"/>
  <c r="E67" i="1"/>
  <c r="E64" i="1"/>
  <c r="E63" i="1"/>
  <c r="E56" i="1"/>
  <c r="E55" i="1"/>
  <c r="E54" i="1"/>
  <c r="E53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12" i="1"/>
  <c r="E11" i="1"/>
  <c r="E10" i="1"/>
  <c r="E9" i="1"/>
  <c r="E8" i="1"/>
  <c r="E7" i="1"/>
  <c r="E6" i="1"/>
  <c r="E4" i="1"/>
  <c r="E3" i="1"/>
  <c r="E2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<sst xmlns="http://schemas.openxmlformats.org/spreadsheetml/2006/main" count="6" uniqueCount="6">
  <si>
    <t>Code</t>
  </si>
  <si>
    <t>MET</t>
  </si>
  <si>
    <t>Activity</t>
    <phoneticPr fontId="2" type="noConversion"/>
  </si>
  <si>
    <t>Description</t>
    <phoneticPr fontId="2" type="noConversion"/>
  </si>
  <si>
    <r>
      <rPr>
        <sz val="11"/>
        <color theme="1"/>
        <rFont val="맑은 고딕"/>
        <family val="3"/>
        <charset val="129"/>
      </rPr>
      <t>저항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맑은 고딕"/>
        <family val="3"/>
        <charset val="129"/>
      </rPr>
      <t>역도</t>
    </r>
    <r>
      <rPr>
        <sz val="11"/>
        <color theme="1"/>
        <rFont val="Calibri"/>
        <family val="2"/>
        <scheme val="minor"/>
      </rPr>
      <t xml:space="preserve"> - </t>
    </r>
    <r>
      <rPr>
        <sz val="11"/>
        <color theme="1"/>
        <rFont val="맑은 고딕"/>
        <family val="3"/>
        <charset val="129"/>
      </rPr>
      <t>자유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중량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노틸러스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또는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유니버설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유형</t>
    </r>
    <r>
      <rPr>
        <sz val="11"/>
        <color theme="1"/>
        <rFont val="Calibri"/>
        <family val="2"/>
        <scheme val="minor"/>
      </rPr>
      <t xml:space="preserve">), </t>
    </r>
    <r>
      <rPr>
        <sz val="11"/>
        <color theme="1"/>
        <rFont val="맑은 고딕"/>
        <family val="3"/>
        <charset val="129"/>
      </rPr>
      <t>파워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리프팅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또는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보디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빌딩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강렬한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노력</t>
    </r>
    <r>
      <rPr>
        <sz val="11"/>
        <color theme="1"/>
        <rFont val="Calibri"/>
        <scheme val="minor"/>
      </rPr>
      <t>)</t>
    </r>
    <phoneticPr fontId="2" type="noConversion"/>
  </si>
  <si>
    <t>백패킹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</si>
</sst>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11"/>
      <color theme="1"/>
      <name val="Calibri"/>
      <scheme val="minor"/>
    </font>
    <font>
      <sz val="8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1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26"/>
  <sheetViews>
    <sheetView tabSelected="1" topLeftCell="A445" workbookViewId="0">
      <selection activeCell="E304" sqref="E304"/>
    </sheetView>
  </sheetViews>
  <sheetFormatPr defaultColWidth="14.42578125" defaultRowHeight="15" customHeight="1"/>
  <cols>
    <col min="1" max="26" width="8.7109375" customWidth="1"/>
  </cols>
  <sheetData>
    <row r="1" spans="1:15" ht="16.5" customHeight="1">
      <c r="B1" s="2" t="s">
        <v>2</v>
      </c>
      <c r="C1" s="1" t="s">
        <v>0</v>
      </c>
      <c r="D1" s="1" t="s">
        <v>1</v>
      </c>
      <c r="E1" s="2" t="s">
        <v>3</v>
      </c>
      <c r="M1" s="2"/>
      <c r="O1" s="2"/>
    </row>
    <row r="2" spans="1:15" ht="16.5" customHeight="1">
      <c r="A2" s="1">
        <v>0</v>
      </c>
      <c r="B2" s="1" t="str">
        <f ca="1">IFERROR(__xludf.DUMMYFUNCTION("GOOGLETRANSLATE(B2, ""en"", ""ko"")"),"자전거 타는 것")</f>
        <v>자전거 타는 것</v>
      </c>
      <c r="C2" s="1">
        <v>1004</v>
      </c>
      <c r="D2" s="1">
        <v>16</v>
      </c>
      <c r="E2" s="1" t="str">
        <f ca="1">IFERROR(__xludf.DUMMYFUNCTION("GOOGLETRANSLATE(E2, ""en"", ""ko"")"),"자전거 타기, 산악 자전거 타기, 경쟁 경주")</f>
        <v>자전거 타기, 산악 자전거 타기, 경쟁 경주</v>
      </c>
      <c r="M2" s="1"/>
      <c r="O2" s="1"/>
    </row>
    <row r="3" spans="1:15" ht="16.5" customHeight="1">
      <c r="A3" s="1">
        <v>1</v>
      </c>
      <c r="B3" s="1" t="str">
        <f ca="1">IFERROR(__xludf.DUMMYFUNCTION("GOOGLETRANSLATE(B3, ""en"", ""ko"")"),"자전거 타는 것")</f>
        <v>자전거 타는 것</v>
      </c>
      <c r="C3" s="1">
        <v>1008</v>
      </c>
      <c r="D3" s="1">
        <v>8.5</v>
      </c>
      <c r="E3" s="1" t="str">
        <f ca="1">IFERROR(__xludf.DUMMYFUNCTION("GOOGLETRANSLATE(E3, ""en"", ""ko"")"),"자전거 타기, BMX")</f>
        <v>자전거 타기, BMX</v>
      </c>
      <c r="M3" s="1"/>
      <c r="O3" s="1"/>
    </row>
    <row r="4" spans="1:15" ht="16.5" customHeight="1">
      <c r="A4" s="1">
        <v>2</v>
      </c>
      <c r="B4" s="1" t="str">
        <f ca="1">IFERROR(__xludf.DUMMYFUNCTION("GOOGLETRANSLATE(B4, ""en"", ""ko"")"),"자전거 타는 것")</f>
        <v>자전거 타는 것</v>
      </c>
      <c r="C4" s="1">
        <v>1009</v>
      </c>
      <c r="D4" s="1">
        <v>8.5</v>
      </c>
      <c r="E4" s="1" t="str">
        <f ca="1">IFERROR(__xludf.DUMMYFUNCTION("GOOGLETRANSLATE(E4, ""en"", ""ko"")"),"자전거, 산악, 일반")</f>
        <v>자전거, 산악, 일반</v>
      </c>
      <c r="M4" s="1"/>
      <c r="O4" s="1"/>
    </row>
    <row r="5" spans="1:15" ht="16.5" customHeight="1">
      <c r="A5" s="1">
        <v>3</v>
      </c>
      <c r="B5" s="1" t="str">
        <f ca="1">IFERROR(__xludf.DUMMYFUNCTION("GOOGLETRANSLATE(B5, ""en"", ""ko"")"),"자전거 타는 것")</f>
        <v>자전거 타는 것</v>
      </c>
      <c r="C5" s="1">
        <v>1010</v>
      </c>
      <c r="D5" s="1">
        <v>4</v>
      </c>
      <c r="E5" s="1" t="str">
        <f ca="1">IFERROR(__xludf.DUMMYFUNCTION("GOOGLETRANSLATE(E5, ""en"", ""ko"")"),"자전거 타기, 시속 10mile 미만, 여가, 출근 또는 여가 활동")</f>
        <v>자전거 타기, 시속 10mile 미만, 여가, 출근 또는 여가 활동</v>
      </c>
      <c r="M5" s="1"/>
      <c r="O5" s="1"/>
    </row>
    <row r="6" spans="1:15" ht="16.5" customHeight="1">
      <c r="A6" s="1">
        <v>4</v>
      </c>
      <c r="B6" s="1" t="str">
        <f ca="1">IFERROR(__xludf.DUMMYFUNCTION("GOOGLETRANSLATE(B6, ""en"", ""ko"")"),"자전거 타는 것")</f>
        <v>자전거 타는 것</v>
      </c>
      <c r="C6" s="1">
        <v>1011</v>
      </c>
      <c r="D6" s="1">
        <v>6.8</v>
      </c>
      <c r="E6" s="1" t="str">
        <f ca="1">IFERROR(__xludf.DUMMYFUNCTION("GOOGLETRANSLATE(E6, ""en"", ""ko"")"),"자전거로 출퇴근, 자기가 선택한 속도")</f>
        <v>자전거로 출퇴근, 자기가 선택한 속도</v>
      </c>
      <c r="M6" s="1"/>
      <c r="O6" s="1"/>
    </row>
    <row r="7" spans="1:15" ht="16.5" customHeight="1">
      <c r="A7" s="1">
        <v>5</v>
      </c>
      <c r="B7" s="1" t="str">
        <f ca="1">IFERROR(__xludf.DUMMYFUNCTION("GOOGLETRANSLATE(B7, ""en"", ""ko"")"),"자전거 타는 것")</f>
        <v>자전거 타는 것</v>
      </c>
      <c r="C7" s="1">
        <v>1013</v>
      </c>
      <c r="D7" s="1">
        <v>5.8</v>
      </c>
      <c r="E7" s="1" t="str">
        <f ca="1">IFERROR(__xludf.DUMMYFUNCTION("GOOGLETRANSLATE(E7, ""en"", ""ko"")"),"자전거 타기, 비포장 도로 또는 농장 도로, 중간 속도")</f>
        <v>자전거 타기, 비포장 도로 또는 농장 도로, 중간 속도</v>
      </c>
      <c r="M7" s="1"/>
      <c r="O7" s="1"/>
    </row>
    <row r="8" spans="1:15" ht="16.5" customHeight="1">
      <c r="A8" s="1">
        <v>6</v>
      </c>
      <c r="B8" s="1" t="str">
        <f ca="1">IFERROR(__xludf.DUMMYFUNCTION("GOOGLETRANSLATE(B8, ""en"", ""ko"")"),"자전거 타는 것")</f>
        <v>자전거 타는 것</v>
      </c>
      <c r="C8" s="1">
        <v>1014</v>
      </c>
      <c r="D8" s="1">
        <v>7</v>
      </c>
      <c r="E8" s="1" t="str">
        <f ca="1">IFERROR(__xludf.DUMMYFUNCTION("GOOGLETRANSLATE(E8, ""en"", ""ko"")"),"자전거 타기, 일반")</f>
        <v>자전거 타기, 일반</v>
      </c>
      <c r="M8" s="1"/>
      <c r="O8" s="1"/>
    </row>
    <row r="9" spans="1:15" ht="16.5" customHeight="1">
      <c r="A9" s="1">
        <v>7</v>
      </c>
      <c r="B9" s="1" t="str">
        <f ca="1">IFERROR(__xludf.DUMMYFUNCTION("GOOGLETRANSLATE(B9, ""en"", ""ko"")"),"자전거 타는 것")</f>
        <v>자전거 타는 것</v>
      </c>
      <c r="C9" s="1">
        <v>1015</v>
      </c>
      <c r="D9" s="1">
        <v>4.3</v>
      </c>
      <c r="E9" s="1" t="str">
        <f ca="1">IFERROR(__xludf.DUMMYFUNCTION("GOOGLETRANSLATE(E9, ""en"", ""ko"")"),"자전거 타기, 스스로 선택한 쉬운 속도")</f>
        <v>자전거 타기, 스스로 선택한 쉬운 속도</v>
      </c>
      <c r="M9" s="1"/>
      <c r="O9" s="1"/>
    </row>
    <row r="10" spans="1:15" ht="16.5" customHeight="1">
      <c r="A10" s="1">
        <v>8</v>
      </c>
      <c r="B10" s="1" t="str">
        <f ca="1">IFERROR(__xludf.DUMMYFUNCTION("GOOGLETRANSLATE(B10, ""en"", ""ko"")"),"자전거 타는 것")</f>
        <v>자전거 타는 것</v>
      </c>
      <c r="C10" s="1">
        <v>1016</v>
      </c>
      <c r="D10" s="1">
        <v>7</v>
      </c>
      <c r="E10" s="1" t="str">
        <f ca="1">IFERROR(__xludf.DUMMYFUNCTION("GOOGLETRANSLATE(E10, ""en"", ""ko"")"),"자전거 타기, 스스로 선택한 중간 속도")</f>
        <v>자전거 타기, 스스로 선택한 중간 속도</v>
      </c>
      <c r="M10" s="1"/>
      <c r="O10" s="1"/>
    </row>
    <row r="11" spans="1:15" ht="16.5" customHeight="1">
      <c r="A11" s="1">
        <v>9</v>
      </c>
      <c r="B11" s="1" t="str">
        <f ca="1">IFERROR(__xludf.DUMMYFUNCTION("GOOGLETRANSLATE(B11, ""en"", ""ko"")"),"자전거 타는 것")</f>
        <v>자전거 타는 것</v>
      </c>
      <c r="C11" s="1">
        <v>1017</v>
      </c>
      <c r="D11" s="1">
        <v>9</v>
      </c>
      <c r="E11" s="1" t="str">
        <f ca="1">IFERROR(__xludf.DUMMYFUNCTION("GOOGLETRANSLATE(E11, ""en"", ""ko"")"),"자전거 타기, 스스로 선택한 강렬한 속도")</f>
        <v>자전거 타기, 스스로 선택한 강렬한 속도</v>
      </c>
      <c r="M11" s="1"/>
      <c r="O11" s="1"/>
    </row>
    <row r="12" spans="1:15" ht="16.5" customHeight="1">
      <c r="A12" s="1">
        <v>10</v>
      </c>
      <c r="B12" s="1" t="str">
        <f ca="1">IFERROR(__xludf.DUMMYFUNCTION("GOOGLETRANSLATE(B12, ""en"", ""ko"")"),"자전거 타는 것")</f>
        <v>자전거 타는 것</v>
      </c>
      <c r="C12" s="1">
        <v>1018</v>
      </c>
      <c r="D12" s="1">
        <v>3.5</v>
      </c>
      <c r="E12" s="1" t="str">
        <f ca="1">IFERROR(__xludf.DUMMYFUNCTION("GOOGLETRANSLATE(E12, ""en"", ""ko"")"),"자전거 타기, 여가 5.5mph")</f>
        <v>자전거 타기, 여가 5.5mph</v>
      </c>
      <c r="M12" s="1"/>
      <c r="O12" s="1"/>
    </row>
    <row r="13" spans="1:15" ht="16.5" customHeight="1">
      <c r="A13" s="1">
        <v>11</v>
      </c>
      <c r="B13" s="1" t="str">
        <f ca="1">IFERROR(__xludf.DUMMYFUNCTION("GOOGLETRANSLATE(B13, ""en"", ""ko"")"),"자전거 타는 것")</f>
        <v>자전거 타는 것</v>
      </c>
      <c r="C13" s="1">
        <v>1019</v>
      </c>
      <c r="D13" s="1">
        <v>5.8</v>
      </c>
      <c r="E13" s="1" t="str">
        <f ca="1">IFERROR(__xludf.DUMMYFUNCTION("GOOGLETRANSLATE(E13, ""en"", ""ko"")"),"자전거 타기, 레저, 시속 9.4mile")</f>
        <v>자전거 타기, 레저, 시속 9.4mile</v>
      </c>
      <c r="M13" s="1"/>
      <c r="O13" s="1"/>
    </row>
    <row r="14" spans="1:15" ht="16.5" customHeight="1">
      <c r="A14" s="1">
        <v>12</v>
      </c>
      <c r="B14" s="1" t="str">
        <f ca="1">IFERROR(__xludf.DUMMYFUNCTION("GOOGLETRANSLATE(B14, ""en"", ""ko"")"),"자전거 타는 것")</f>
        <v>자전거 타는 것</v>
      </c>
      <c r="C14" s="1">
        <v>1020</v>
      </c>
      <c r="D14" s="1">
        <v>6.8</v>
      </c>
      <c r="E14" s="1" t="str">
        <f ca="1">IFERROR(__xludf.DUMMYFUNCTION("GOOGLETRANSLATE(E14, ""en"", ""ko"")"),"자전거 타기, 시속 10-11.9mile, 여유로움, 느림, 가벼운 노력")</f>
        <v>자전거 타기, 시속 10-11.9mile, 여유로움, 느림, 가벼운 노력</v>
      </c>
      <c r="M14" s="1"/>
      <c r="O14" s="1"/>
    </row>
    <row r="15" spans="1:15" ht="16.5" customHeight="1">
      <c r="A15" s="1">
        <v>13</v>
      </c>
      <c r="B15" s="1" t="str">
        <f ca="1">IFERROR(__xludf.DUMMYFUNCTION("GOOGLETRANSLATE(B15, ""en"", ""ko"")"),"자전거 타는 것")</f>
        <v>자전거 타는 것</v>
      </c>
      <c r="C15" s="1">
        <v>1030</v>
      </c>
      <c r="D15" s="1">
        <v>8</v>
      </c>
      <c r="E15" s="1" t="str">
        <f ca="1">IFERROR(__xludf.DUMMYFUNCTION("GOOGLETRANSLATE(E15, ""en"", ""ko"")"),"자전거 타기, 시속 12-13.9mile, 여유, 중간 노력")</f>
        <v>자전거 타기, 시속 12-13.9mile, 여유, 중간 노력</v>
      </c>
      <c r="M15" s="1"/>
      <c r="O15" s="1"/>
    </row>
    <row r="16" spans="1:15" ht="16.5" customHeight="1">
      <c r="A16" s="1">
        <v>14</v>
      </c>
      <c r="B16" s="1" t="str">
        <f ca="1">IFERROR(__xludf.DUMMYFUNCTION("GOOGLETRANSLATE(B16, ""en"", ""ko"")"),"자전거 타는 것")</f>
        <v>자전거 타는 것</v>
      </c>
      <c r="C16" s="1">
        <v>1040</v>
      </c>
      <c r="D16" s="1">
        <v>10</v>
      </c>
      <c r="E16" s="1" t="str">
        <f ca="1">IFERROR(__xludf.DUMMYFUNCTION("GOOGLETRANSLATE(E16, ""en"", ""ko"")"),"자전거 타기, 시속 14-15.9mile, 경주 또는 여가, 빠르고 강렬한 노력")</f>
        <v>자전거 타기, 시속 14-15.9mile, 경주 또는 여가, 빠르고 강렬한 노력</v>
      </c>
      <c r="M16" s="1"/>
      <c r="O16" s="1"/>
    </row>
    <row r="17" spans="1:15" ht="16.5" customHeight="1">
      <c r="A17" s="1">
        <v>15</v>
      </c>
      <c r="B17" s="1" t="str">
        <f ca="1">IFERROR(__xludf.DUMMYFUNCTION("GOOGLETRANSLATE(B17, ""en"", ""ko"")"),"자전거 타는 것")</f>
        <v>자전거 타는 것</v>
      </c>
      <c r="C17" s="1">
        <v>1050</v>
      </c>
      <c r="D17" s="1">
        <v>12</v>
      </c>
      <c r="E17" s="1" t="str">
        <f ca="1">IFERROR(__xludf.DUMMYFUNCTION("GOOGLETRANSLATE(E17, ""en"", ""ko"")"),"자전거 타기, 시속 16-19mile, 경주/드래프팅 아님 또는 시속 19mile 이상 드래프팅, 매우 빠름, 일반 경주")</f>
        <v>자전거 타기, 시속 16-19mile, 경주/드래프팅 아님 또는 시속 19mile 이상 드래프팅, 매우 빠름, 일반 경주</v>
      </c>
      <c r="M17" s="1"/>
      <c r="O17" s="1"/>
    </row>
    <row r="18" spans="1:15" ht="16.5" customHeight="1">
      <c r="A18" s="1">
        <v>16</v>
      </c>
      <c r="B18" s="1" t="str">
        <f ca="1">IFERROR(__xludf.DUMMYFUNCTION("GOOGLETRANSLATE(B18, ""en"", ""ko"")"),"자전거 타는 것")</f>
        <v>자전거 타는 것</v>
      </c>
      <c r="C18" s="1">
        <v>1060</v>
      </c>
      <c r="D18" s="1">
        <v>16.8</v>
      </c>
      <c r="E18" s="1" t="str">
        <f ca="1">IFERROR(__xludf.DUMMYFUNCTION("GOOGLETRANSLATE(E18, ""en"", ""ko"")"),"자전거 타기, 시속 20mile 이상, 경주, 드래프팅 아님")</f>
        <v>자전거 타기, 시속 20mile 이상, 경주, 드래프팅 아님</v>
      </c>
      <c r="M18" s="1"/>
      <c r="O18" s="1"/>
    </row>
    <row r="19" spans="1:15" ht="16.5" customHeight="1">
      <c r="A19" s="1">
        <v>17</v>
      </c>
      <c r="B19" s="1" t="str">
        <f ca="1">IFERROR(__xludf.DUMMYFUNCTION("GOOGLETRANSLATE(B19, ""en"", ""ko"")"),"자전거 타는 것")</f>
        <v>자전거 타는 것</v>
      </c>
      <c r="C19" s="1">
        <v>1065</v>
      </c>
      <c r="D19" s="1">
        <v>8.5</v>
      </c>
      <c r="E19" s="1" t="str">
        <f ca="1">IFERROR(__xludf.DUMMYFUNCTION("GOOGLETRANSLATE(E19, ""en"", ""ko"")"),"자전거 타기, 시속 12mile, 앉아서, 브레이크 후드 또는 핸들 드롭에 손 얹기, 분당 80회")</f>
        <v>자전거 타기, 시속 12mile, 앉아서, 브레이크 후드 또는 핸들 드롭에 손 얹기, 분당 80회</v>
      </c>
      <c r="M19" s="1"/>
      <c r="O19" s="1"/>
    </row>
    <row r="20" spans="1:15" ht="16.5" customHeight="1">
      <c r="A20" s="1">
        <v>18</v>
      </c>
      <c r="B20" s="1" t="str">
        <f ca="1">IFERROR(__xludf.DUMMYFUNCTION("GOOGLETRANSLATE(B20, ""en"", ""ko"")"),"자전거 타는 것")</f>
        <v>자전거 타는 것</v>
      </c>
      <c r="C20" s="1">
        <v>1066</v>
      </c>
      <c r="D20" s="1">
        <v>9</v>
      </c>
      <c r="E20" s="1" t="str">
        <f ca="1">IFERROR(__xludf.DUMMYFUNCTION("GOOGLETRANSLATE(E20, ""en"", ""ko"")"),"자전거 타기, 시속 12mile, 서 있음, 브레이크 후드에 손 얹음, 분당 60회")</f>
        <v>자전거 타기, 시속 12mile, 서 있음, 브레이크 후드에 손 얹음, 분당 60회</v>
      </c>
      <c r="M20" s="1"/>
      <c r="O20" s="1"/>
    </row>
    <row r="21" spans="1:15" ht="16.5" customHeight="1">
      <c r="A21" s="1">
        <v>19</v>
      </c>
      <c r="B21" s="1" t="str">
        <f ca="1">IFERROR(__xludf.DUMMYFUNCTION("GOOGLETRANSLATE(B21, ""en"", ""ko"")"),"자전거 타는 것")</f>
        <v>자전거 타는 것</v>
      </c>
      <c r="C21" s="1">
        <v>1070</v>
      </c>
      <c r="D21" s="1">
        <v>5</v>
      </c>
      <c r="E21" s="1" t="str">
        <f ca="1">IFERROR(__xludf.DUMMYFUNCTION("GOOGLETRANSLATE(E21, ""en"", ""ko"")"),"단륜차")</f>
        <v>단륜차</v>
      </c>
      <c r="M21" s="1"/>
      <c r="O21" s="1"/>
    </row>
    <row r="22" spans="1:15" ht="16.5" customHeight="1">
      <c r="A22" s="1">
        <v>20</v>
      </c>
      <c r="B22" s="1" t="str">
        <f ca="1">IFERROR(__xludf.DUMMYFUNCTION("GOOGLETRANSLATE(B22, ""en"", ""ko"")"),"자전거 타는 것")</f>
        <v>자전거 타는 것</v>
      </c>
      <c r="C22" s="1">
        <v>1080</v>
      </c>
      <c r="D22" s="1">
        <v>6.8</v>
      </c>
      <c r="E22" s="1" t="str">
        <f ca="1">IFERROR(__xludf.DUMMYFUNCTION("GOOGLETRANSLATE(E22, ""en"", ""ko"")"),"전자 지원이 없는 전기 자전거(전기 지원)")</f>
        <v>전자 지원이 없는 전기 자전거(전기 지원)</v>
      </c>
      <c r="M22" s="1"/>
      <c r="O22" s="1"/>
    </row>
    <row r="23" spans="1:15" ht="16.5" customHeight="1">
      <c r="A23" s="1">
        <v>21</v>
      </c>
      <c r="B23" s="1" t="str">
        <f ca="1">IFERROR(__xludf.DUMMYFUNCTION("GOOGLETRANSLATE(B23, ""en"", ""ko"")"),"자전거 타는 것")</f>
        <v>자전거 타는 것</v>
      </c>
      <c r="C23" s="1">
        <v>1084</v>
      </c>
      <c r="D23" s="1">
        <v>6</v>
      </c>
      <c r="E23" s="1" t="str">
        <f ca="1">IFERROR(__xludf.DUMMYFUNCTION("GOOGLETRANSLATE(E23, ""en"", ""ko"")"),"가벼운 전자 지원 기능이 있는 전기 자전거(전기 지원)")</f>
        <v>가벼운 전자 지원 기능이 있는 전기 자전거(전기 지원)</v>
      </c>
      <c r="M23" s="1"/>
      <c r="O23" s="1"/>
    </row>
    <row r="24" spans="1:15" ht="16.5" customHeight="1">
      <c r="A24" s="1">
        <v>22</v>
      </c>
      <c r="B24" s="1" t="str">
        <f ca="1">IFERROR(__xludf.DUMMYFUNCTION("GOOGLETRANSLATE(B24, ""en"", ""ko"")"),"자전거 타는 것")</f>
        <v>자전거 타는 것</v>
      </c>
      <c r="C24" s="1">
        <v>1088</v>
      </c>
      <c r="D24" s="1">
        <v>4</v>
      </c>
      <c r="E24" s="1" t="str">
        <f ca="1">IFERROR(__xludf.DUMMYFUNCTION("GOOGLETRANSLATE(E24, ""en"", ""ko"")"),"높은 전자 지원 기능을 갖춘 전기 자전거(전기 지원)")</f>
        <v>높은 전자 지원 기능을 갖춘 전기 자전거(전기 지원)</v>
      </c>
      <c r="M24" s="1"/>
      <c r="O24" s="1"/>
    </row>
    <row r="25" spans="1:15" ht="16.5" customHeight="1">
      <c r="A25" s="1">
        <v>23</v>
      </c>
      <c r="B25" s="1" t="str">
        <f ca="1">IFERROR(__xludf.DUMMYFUNCTION("GOOGLETRANSLATE(B25, ""en"", ""ko"")"),"자전거 타는 것")</f>
        <v>자전거 타는 것</v>
      </c>
      <c r="C25" s="1">
        <v>1200</v>
      </c>
      <c r="D25" s="1">
        <v>6.8</v>
      </c>
      <c r="E25" s="1" t="str">
        <f ca="1">IFERROR(__xludf.DUMMYFUNCTION("GOOGLETRANSLATE(E25, ""en"", ""ko"")"),"자전거 타기, 정지, 일반")</f>
        <v>자전거 타기, 정지, 일반</v>
      </c>
      <c r="M25" s="1"/>
      <c r="O25" s="1"/>
    </row>
    <row r="26" spans="1:15" ht="16.5" customHeight="1">
      <c r="A26" s="1">
        <v>24</v>
      </c>
      <c r="B26" s="1" t="str">
        <f ca="1">IFERROR(__xludf.DUMMYFUNCTION("GOOGLETRANSLATE(B26, ""en"", ""ko"")"),"자전거 타는 것")</f>
        <v>자전거 타는 것</v>
      </c>
      <c r="C26" s="1">
        <v>1210</v>
      </c>
      <c r="D26" s="1">
        <v>3.5</v>
      </c>
      <c r="E26" s="1" t="str">
        <f ca="1">IFERROR(__xludf.DUMMYFUNCTION("GOOGLETRANSLATE(E26, ""en"", ""ko"")"),"자전거 타기, 정지, 25-30와트, 매우 가볍거나 가벼운 노력")</f>
        <v>자전거 타기, 정지, 25-30와트, 매우 가볍거나 가벼운 노력</v>
      </c>
      <c r="M26" s="1"/>
      <c r="O26" s="1"/>
    </row>
    <row r="27" spans="1:15" ht="16.5" customHeight="1">
      <c r="A27" s="1">
        <v>25</v>
      </c>
      <c r="B27" s="1" t="str">
        <f ca="1">IFERROR(__xludf.DUMMYFUNCTION("GOOGLETRANSLATE(B27, ""en"", ""ko"")"),"자전거 타는 것")</f>
        <v>자전거 타는 것</v>
      </c>
      <c r="C27" s="1">
        <v>1214</v>
      </c>
      <c r="D27" s="1">
        <v>4</v>
      </c>
      <c r="E27" s="1" t="str">
        <f ca="1">IFERROR(__xludf.DUMMYFUNCTION("GOOGLETRANSLATE(E27, ""en"", ""ko"")"),"자전거 타기, 정지, 50와트, 가벼운 노력")</f>
        <v>자전거 타기, 정지, 50와트, 가벼운 노력</v>
      </c>
      <c r="M27" s="1"/>
      <c r="O27" s="1"/>
    </row>
    <row r="28" spans="1:15" ht="16.5" customHeight="1">
      <c r="A28" s="1">
        <v>26</v>
      </c>
      <c r="B28" s="1" t="str">
        <f ca="1">IFERROR(__xludf.DUMMYFUNCTION("GOOGLETRANSLATE(B28, ""en"", ""ko"")"),"자전거 타는 것")</f>
        <v>자전거 타는 것</v>
      </c>
      <c r="C28" s="1">
        <v>1216</v>
      </c>
      <c r="D28" s="1">
        <v>5</v>
      </c>
      <c r="E28" s="1" t="str">
        <f ca="1">IFERROR(__xludf.DUMMYFUNCTION("GOOGLETRANSLATE(E28, ""en"", ""ko"")"),"자전거 타기, 정지, 60와트, 가볍거나 중간 정도의 노력")</f>
        <v>자전거 타기, 정지, 60와트, 가볍거나 중간 정도의 노력</v>
      </c>
      <c r="M28" s="1"/>
      <c r="O28" s="1"/>
    </row>
    <row r="29" spans="1:15" ht="16.5" customHeight="1">
      <c r="A29" s="1">
        <v>27</v>
      </c>
      <c r="B29" s="1" t="str">
        <f ca="1">IFERROR(__xludf.DUMMYFUNCTION("GOOGLETRANSLATE(B29, ""en"", ""ko"")"),"자전거 타는 것")</f>
        <v>자전거 타는 것</v>
      </c>
      <c r="C29" s="1">
        <v>1218</v>
      </c>
      <c r="D29" s="1">
        <v>5.8</v>
      </c>
      <c r="E29" s="1" t="str">
        <f ca="1">IFERROR(__xludf.DUMMYFUNCTION("GOOGLETRANSLATE(E29, ""en"", ""ko"")"),"자전거 타기, 고정, 70-80와트")</f>
        <v>자전거 타기, 고정, 70-80와트</v>
      </c>
      <c r="M29" s="1"/>
      <c r="O29" s="1"/>
    </row>
    <row r="30" spans="1:15" ht="16.5" customHeight="1">
      <c r="A30" s="1">
        <v>28</v>
      </c>
      <c r="B30" s="1" t="str">
        <f ca="1">IFERROR(__xludf.DUMMYFUNCTION("GOOGLETRANSLATE(B30, ""en"", ""ko"")"),"자전거 타는 것")</f>
        <v>자전거 타는 것</v>
      </c>
      <c r="C30" s="1">
        <v>1220</v>
      </c>
      <c r="D30" s="1">
        <v>6</v>
      </c>
      <c r="E30" s="1" t="str">
        <f ca="1">IFERROR(__xludf.DUMMYFUNCTION("GOOGLETRANSLATE(E30, ""en"", ""ko"")"),"자전거 타기, 정지, 90-100와트, 중간에서 강력함")</f>
        <v>자전거 타기, 정지, 90-100와트, 중간에서 강력함</v>
      </c>
      <c r="M30" s="1"/>
      <c r="O30" s="1"/>
    </row>
    <row r="31" spans="1:15" ht="16.5" customHeight="1">
      <c r="A31" s="1">
        <v>29</v>
      </c>
      <c r="B31" s="1" t="str">
        <f ca="1">IFERROR(__xludf.DUMMYFUNCTION("GOOGLETRANSLATE(B31, ""en"", ""ko"")"),"자전거 타는 것")</f>
        <v>자전거 타는 것</v>
      </c>
      <c r="C31" s="1">
        <v>1224</v>
      </c>
      <c r="D31" s="1">
        <v>6.8</v>
      </c>
      <c r="E31" s="1" t="str">
        <f ca="1">IFERROR(__xludf.DUMMYFUNCTION("GOOGLETRANSLATE(E31, ""en"", ""ko"")"),"자전거 타기, 고정, 101-125와트")</f>
        <v>자전거 타기, 고정, 101-125와트</v>
      </c>
      <c r="M31" s="1"/>
      <c r="O31" s="1"/>
    </row>
    <row r="32" spans="1:15" ht="16.5" customHeight="1">
      <c r="A32" s="1">
        <v>30</v>
      </c>
      <c r="B32" s="1" t="str">
        <f ca="1">IFERROR(__xludf.DUMMYFUNCTION("GOOGLETRANSLATE(B32, ""en"", ""ko"")"),"자전거 타는 것")</f>
        <v>자전거 타는 것</v>
      </c>
      <c r="C32" s="1">
        <v>1228</v>
      </c>
      <c r="D32" s="1">
        <v>8</v>
      </c>
      <c r="E32" s="1" t="str">
        <f ca="1">IFERROR(__xludf.DUMMYFUNCTION("GOOGLETRANSLATE(E32, ""en"", ""ko"")"),"자전거 타기, 고정, 126-150와트")</f>
        <v>자전거 타기, 고정, 126-150와트</v>
      </c>
      <c r="M32" s="1"/>
      <c r="O32" s="1"/>
    </row>
    <row r="33" spans="1:15" ht="16.5" customHeight="1">
      <c r="A33" s="1">
        <v>31</v>
      </c>
      <c r="B33" s="1" t="str">
        <f ca="1">IFERROR(__xludf.DUMMYFUNCTION("GOOGLETRANSLATE(B33, ""en"", ""ko"")"),"자전거 타는 것")</f>
        <v>자전거 타는 것</v>
      </c>
      <c r="C33" s="1">
        <v>1232</v>
      </c>
      <c r="D33" s="1">
        <v>10.3</v>
      </c>
      <c r="E33" s="1" t="str">
        <f ca="1">IFERROR(__xludf.DUMMYFUNCTION("GOOGLETRANSLATE(E33, ""en"", ""ko"")"),"자전거 타기, 고정, 151-199와트")</f>
        <v>자전거 타기, 고정, 151-199와트</v>
      </c>
      <c r="M33" s="1"/>
      <c r="O33" s="1"/>
    </row>
    <row r="34" spans="1:15" ht="16.5" customHeight="1">
      <c r="A34" s="1">
        <v>32</v>
      </c>
      <c r="B34" s="1" t="str">
        <f ca="1">IFERROR(__xludf.DUMMYFUNCTION("GOOGLETRANSLATE(B34, ""en"", ""ko"")"),"자전거 타는 것")</f>
        <v>자전거 타는 것</v>
      </c>
      <c r="C34" s="1">
        <v>1236</v>
      </c>
      <c r="D34" s="1">
        <v>10.8</v>
      </c>
      <c r="E34" s="1" t="str">
        <f ca="1">IFERROR(__xludf.DUMMYFUNCTION("GOOGLETRANSLATE(E34, ""en"", ""ko"")"),"자전거 타기, 정지, 200-229와트, 강력함")</f>
        <v>자전거 타기, 정지, 200-229와트, 강력함</v>
      </c>
      <c r="M34" s="1"/>
      <c r="O34" s="1"/>
    </row>
    <row r="35" spans="1:15" ht="16.5" customHeight="1">
      <c r="A35" s="1">
        <v>33</v>
      </c>
      <c r="B35" s="1" t="str">
        <f ca="1">IFERROR(__xludf.DUMMYFUNCTION("GOOGLETRANSLATE(B35, ""en"", ""ko"")"),"자전거 타는 것")</f>
        <v>자전거 타는 것</v>
      </c>
      <c r="C35" s="1">
        <v>1240</v>
      </c>
      <c r="D35" s="1">
        <v>12.5</v>
      </c>
      <c r="E35" s="1" t="str">
        <f ca="1">IFERROR(__xludf.DUMMYFUNCTION("GOOGLETRANSLATE(E35, ""en"", ""ko"")"),"자전거 타기, 정지, 230-250와트, 매우 강력함")</f>
        <v>자전거 타기, 정지, 230-250와트, 매우 강력함</v>
      </c>
      <c r="M35" s="1"/>
      <c r="O35" s="1"/>
    </row>
    <row r="36" spans="1:15" ht="16.5" customHeight="1">
      <c r="A36" s="1">
        <v>34</v>
      </c>
      <c r="B36" s="1" t="str">
        <f ca="1">IFERROR(__xludf.DUMMYFUNCTION("GOOGLETRANSLATE(B36, ""en"", ""ko"")"),"자전거 타는 것")</f>
        <v>자전거 타는 것</v>
      </c>
      <c r="C36" s="1">
        <v>1244</v>
      </c>
      <c r="D36" s="1">
        <v>13.8</v>
      </c>
      <c r="E36" s="1" t="str">
        <f ca="1">IFERROR(__xludf.DUMMYFUNCTION("GOOGLETRANSLATE(E36, ""en"", ""ko"")"),"자전거 타기, 정지, 270-305와트, 매우 강력함")</f>
        <v>자전거 타기, 정지, 270-305와트, 매우 강력함</v>
      </c>
      <c r="M36" s="1"/>
      <c r="O36" s="1"/>
    </row>
    <row r="37" spans="1:15" ht="16.5" customHeight="1">
      <c r="A37" s="1">
        <v>35</v>
      </c>
      <c r="B37" s="1" t="str">
        <f ca="1">IFERROR(__xludf.DUMMYFUNCTION("GOOGLETRANSLATE(B37, ""en"", ""ko"")"),"자전거 타는 것")</f>
        <v>자전거 타는 것</v>
      </c>
      <c r="C37" s="1">
        <v>1248</v>
      </c>
      <c r="D37" s="1">
        <v>16.3</v>
      </c>
      <c r="E37" s="1" t="str">
        <f ca="1">IFERROR(__xludf.DUMMYFUNCTION("GOOGLETRANSLATE(E37, ""en"", ""ko"")"),"자전거 타기, 정지, &gt;325와트, 매우 강렬함")</f>
        <v>자전거 타기, 정지, &gt;325와트, 매우 강렬함</v>
      </c>
      <c r="M37" s="1"/>
      <c r="O37" s="1"/>
    </row>
    <row r="38" spans="1:15" ht="16.5" customHeight="1">
      <c r="A38" s="1">
        <v>36</v>
      </c>
      <c r="B38" s="1" t="str">
        <f ca="1">IFERROR(__xludf.DUMMYFUNCTION("GOOGLETRANSLATE(B38, ""en"", ""ko"")"),"자전거 타는 것")</f>
        <v>자전거 타는 것</v>
      </c>
      <c r="C38" s="1">
        <v>1252</v>
      </c>
      <c r="D38" s="1">
        <v>5.5</v>
      </c>
      <c r="E38" s="1" t="str">
        <f ca="1">IFERROR(__xludf.DUMMYFUNCTION("GOOGLETRANSLATE(E38, ""en"", ""ko"")"),"자전거 타기, 동심원만, 100W")</f>
        <v>자전거 타기, 동심원만, 100W</v>
      </c>
      <c r="M38" s="1"/>
      <c r="O38" s="1"/>
    </row>
    <row r="39" spans="1:15" ht="16.5" customHeight="1">
      <c r="A39" s="1">
        <v>37</v>
      </c>
      <c r="B39" s="1" t="str">
        <f ca="1">IFERROR(__xludf.DUMMYFUNCTION("GOOGLETRANSLATE(B39, ""en"", ""ko"")"),"자전거 타는 것")</f>
        <v>자전거 타는 것</v>
      </c>
      <c r="C39" s="1">
        <v>1254</v>
      </c>
      <c r="D39" s="1">
        <v>11</v>
      </c>
      <c r="E39" s="1" t="str">
        <f ca="1">IFERROR(__xludf.DUMMYFUNCTION("GOOGLETRANSLATE(E39, ""en"", ""ko"")"),"자전거 타기, 동심원만, 200W")</f>
        <v>자전거 타기, 동심원만, 200W</v>
      </c>
      <c r="M39" s="1"/>
      <c r="O39" s="1"/>
    </row>
    <row r="40" spans="1:15" ht="16.5" customHeight="1">
      <c r="A40" s="1">
        <v>38</v>
      </c>
      <c r="B40" s="1" t="str">
        <f ca="1">IFERROR(__xludf.DUMMYFUNCTION("GOOGLETRANSLATE(B40, ""en"", ""ko"")"),"자전거 타는 것")</f>
        <v>자전거 타는 것</v>
      </c>
      <c r="C40" s="1">
        <v>1262</v>
      </c>
      <c r="D40" s="1">
        <v>2.2999999999999998</v>
      </c>
      <c r="E40" s="1" t="str">
        <f ca="1">IFERROR(__xludf.DUMMYFUNCTION("GOOGLETRANSLATE(E40, ""en"", ""ko"")"),"자전거 타기, 편심만 가능, 100~149W")</f>
        <v>자전거 타기, 편심만 가능, 100~149W</v>
      </c>
      <c r="M40" s="1"/>
      <c r="O40" s="1"/>
    </row>
    <row r="41" spans="1:15" ht="16.5" customHeight="1">
      <c r="A41" s="1">
        <v>39</v>
      </c>
      <c r="B41" s="1" t="str">
        <f ca="1">IFERROR(__xludf.DUMMYFUNCTION("GOOGLETRANSLATE(B41, ""en"", ""ko"")"),"자전거 타는 것")</f>
        <v>자전거 타는 것</v>
      </c>
      <c r="C41" s="1">
        <v>1264</v>
      </c>
      <c r="D41" s="1">
        <v>4</v>
      </c>
      <c r="E41" s="1" t="str">
        <f ca="1">IFERROR(__xludf.DUMMYFUNCTION("GOOGLETRANSLATE(E41, ""en"", ""ko"")"),"자전거 타기, 편심만 가능, 200 W2024 성인 신체 활동 요약서")</f>
        <v>자전거 타기, 편심만 가능, 200 W2024 성인 신체 활동 요약서</v>
      </c>
      <c r="M41" s="1"/>
      <c r="O41" s="1"/>
    </row>
    <row r="42" spans="1:15" ht="16.5" customHeight="1">
      <c r="A42" s="1">
        <v>40</v>
      </c>
      <c r="B42" s="1" t="str">
        <f ca="1">IFERROR(__xludf.DUMMYFUNCTION("GOOGLETRANSLATE(B42, ""en"", ""ko"")"),"자전거 타는 것")</f>
        <v>자전거 타는 것</v>
      </c>
      <c r="C42" s="1">
        <v>1270</v>
      </c>
      <c r="D42" s="1">
        <v>9</v>
      </c>
      <c r="E42" s="1" t="str">
        <f ca="1">IFERROR(__xludf.DUMMYFUNCTION("GOOGLETRANSLATE(E42, ""en"", ""ko"")"),"자전거, 고정식, RPM/스핀 자전거 수업")</f>
        <v>자전거, 고정식, RPM/스핀 자전거 수업</v>
      </c>
      <c r="M42" s="1"/>
      <c r="O42" s="1"/>
    </row>
    <row r="43" spans="1:15" ht="16.5" customHeight="1">
      <c r="A43" s="1">
        <v>41</v>
      </c>
      <c r="B43" s="1" t="str">
        <f ca="1">IFERROR(__xludf.DUMMYFUNCTION("GOOGLETRANSLATE(B43, ""en"", ""ko"")"),"자전거 타는 것")</f>
        <v>자전거 타는 것</v>
      </c>
      <c r="C43" s="1">
        <v>1290</v>
      </c>
      <c r="D43" s="1">
        <v>8.8000000000000007</v>
      </c>
      <c r="E43" s="1" t="str">
        <f ca="1">IFERROR(__xludf.DUMMYFUNCTION("GOOGLETRANSLATE(E43, ""en"", ""ko"")"),"자전거 타기, 대화형 가상 자전거 타기, 실내 자전거 에르고미터")</f>
        <v>자전거 타기, 대화형 가상 자전거 타기, 실내 자전거 에르고미터</v>
      </c>
      <c r="M43" s="1"/>
      <c r="O43" s="1"/>
    </row>
    <row r="44" spans="1:15" ht="16.5" customHeight="1">
      <c r="A44" s="1">
        <v>42</v>
      </c>
      <c r="B44" s="1" t="str">
        <f ca="1">IFERROR(__xludf.DUMMYFUNCTION("GOOGLETRANSLATE(B44, ""en"", ""ko"")"),"자전거 타는 것")</f>
        <v>자전거 타는 것</v>
      </c>
      <c r="C44" s="1">
        <v>1305</v>
      </c>
      <c r="D44" s="1">
        <v>8.8000000000000007</v>
      </c>
      <c r="E44" s="1" t="str">
        <f ca="1">IFERROR(__xludf.DUMMYFUNCTION("GOOGLETRANSLATE(E44, ""en"", ""ko"")"),"자전거 타기, 고강도 간헐 훈련")</f>
        <v>자전거 타기, 고강도 간헐 훈련</v>
      </c>
      <c r="M44" s="1"/>
      <c r="O44" s="1"/>
    </row>
    <row r="45" spans="1:15" ht="16.5" customHeight="1">
      <c r="A45" s="1">
        <v>43</v>
      </c>
      <c r="B45" s="1" t="str">
        <f ca="1">IFERROR(__xludf.DUMMYFUNCTION("GOOGLETRANSLATE(B45, ""en"", ""ko"")"),"컨디셔닝 운동")</f>
        <v>컨디셔닝 운동</v>
      </c>
      <c r="C45" s="1">
        <v>2000</v>
      </c>
      <c r="D45" s="1">
        <v>7.3</v>
      </c>
      <c r="E45" s="1" t="str">
        <f ca="1">IFERROR(__xludf.DUMMYFUNCTION("GOOGLETRANSLATE(E45, ""en"", ""ko"")"),"유산소, 일반")</f>
        <v>유산소, 일반</v>
      </c>
      <c r="M45" s="1"/>
      <c r="O45" s="1"/>
    </row>
    <row r="46" spans="1:15" ht="16.5" customHeight="1">
      <c r="A46" s="1">
        <v>44</v>
      </c>
      <c r="B46" s="1" t="str">
        <f ca="1">IFERROR(__xludf.DUMMYFUNCTION("GOOGLETRANSLATE(B46, ""en"", ""ko"")"),"컨디셔닝 운동")</f>
        <v>컨디셔닝 운동</v>
      </c>
      <c r="C46" s="1">
        <v>2001</v>
      </c>
      <c r="D46" s="1">
        <v>5.5</v>
      </c>
      <c r="E46" s="1" t="str">
        <f ca="1">IFERROR(__xludf.DUMMYFUNCTION("GOOGLETRANSLATE(E46, ""en"", ""ko"")"),"유산소, 스텝, 4인치 스텝 포함")</f>
        <v>유산소, 스텝, 4인치 스텝 포함</v>
      </c>
      <c r="M46" s="1"/>
      <c r="O46" s="1"/>
    </row>
    <row r="47" spans="1:15" ht="16.5" customHeight="1">
      <c r="A47" s="1">
        <v>45</v>
      </c>
      <c r="B47" s="1" t="str">
        <f ca="1">IFERROR(__xludf.DUMMYFUNCTION("GOOGLETRANSLATE(B47, ""en"", ""ko"")"),"컨디셔닝 운동")</f>
        <v>컨디셔닝 운동</v>
      </c>
      <c r="C47" s="1">
        <v>2002</v>
      </c>
      <c r="D47" s="1">
        <v>7.3</v>
      </c>
      <c r="E47" s="1" t="str">
        <f ca="1">IFERROR(__xludf.DUMMYFUNCTION("GOOGLETRANSLATE(E47, ""en"", ""ko"")"),"유산소 운동, 스텝, 6~8인치 스텝")</f>
        <v>유산소 운동, 스텝, 6~8인치 스텝</v>
      </c>
      <c r="M47" s="1"/>
      <c r="O47" s="1"/>
    </row>
    <row r="48" spans="1:15" ht="16.5" customHeight="1">
      <c r="A48" s="1">
        <v>46</v>
      </c>
      <c r="B48" s="1" t="str">
        <f ca="1">IFERROR(__xludf.DUMMYFUNCTION("GOOGLETRANSLATE(B48, ""en"", ""ko"")"),"컨디셔닝 운동")</f>
        <v>컨디셔닝 운동</v>
      </c>
      <c r="C48" s="1">
        <v>2003</v>
      </c>
      <c r="D48" s="1">
        <v>9</v>
      </c>
      <c r="E48" s="1" t="str">
        <f ca="1">IFERROR(__xludf.DUMMYFUNCTION("GOOGLETRANSLATE(E48, ""en"", ""ko"")"),"유산소 운동, 스텝, 10~12인치 스텝")</f>
        <v>유산소 운동, 스텝, 10~12인치 스텝</v>
      </c>
      <c r="M48" s="1"/>
      <c r="O48" s="1"/>
    </row>
    <row r="49" spans="1:15" ht="16.5" customHeight="1">
      <c r="A49" s="1">
        <v>47</v>
      </c>
      <c r="B49" s="1" t="str">
        <f ca="1">IFERROR(__xludf.DUMMYFUNCTION("GOOGLETRANSLATE(B49, ""en"", ""ko"")"),"컨디셔닝 운동")</f>
        <v>컨디셔닝 운동</v>
      </c>
      <c r="C49" s="1">
        <v>2004</v>
      </c>
      <c r="D49" s="1">
        <v>7.8</v>
      </c>
      <c r="E49" s="1" t="str">
        <f ca="1">IFERROR(__xludf.DUMMYFUNCTION("GOOGLETRANSLATE(E49, ""en"", ""ko"")"),"벤치 스텝 클래스, 일반")</f>
        <v>벤치 스텝 클래스, 일반</v>
      </c>
      <c r="M49" s="1"/>
      <c r="O49" s="1"/>
    </row>
    <row r="50" spans="1:15" ht="16.5" customHeight="1">
      <c r="A50" s="1">
        <v>48</v>
      </c>
      <c r="B50" s="1" t="str">
        <f ca="1">IFERROR(__xludf.DUMMYFUNCTION("GOOGLETRANSLATE(B50, ""en"", ""ko"")"),"컨디셔닝 운동")</f>
        <v>컨디셔닝 운동</v>
      </c>
      <c r="C50" s="1">
        <v>2005</v>
      </c>
      <c r="D50" s="1">
        <v>4.8</v>
      </c>
      <c r="E50" s="1" t="str">
        <f ca="1">IFERROR(__xludf.DUMMYFUNCTION("GOOGLETRANSLATE(E50, ""en"", ""ko"")"),"에어로빅 댄스, 저충격, 중간 강도")</f>
        <v>에어로빅 댄스, 저충격, 중간 강도</v>
      </c>
      <c r="M50" s="1"/>
      <c r="O50" s="1"/>
    </row>
    <row r="51" spans="1:15" ht="16.5" customHeight="1">
      <c r="A51" s="1">
        <v>49</v>
      </c>
      <c r="B51" s="1" t="str">
        <f ca="1">IFERROR(__xludf.DUMMYFUNCTION("GOOGLETRANSLATE(B51, ""en"", ""ko"")"),"컨디셔닝 운동")</f>
        <v>컨디셔닝 운동</v>
      </c>
      <c r="C51" s="1">
        <v>2006</v>
      </c>
      <c r="D51" s="1">
        <v>8</v>
      </c>
      <c r="E51" s="1" t="str">
        <f ca="1">IFERROR(__xludf.DUMMYFUNCTION("GOOGLETRANSLATE(E51, ""en"", ""ko"")"),"에어로빅 댄스, 고강도, 격렬한 노력")</f>
        <v>에어로빅 댄스, 고강도, 격렬한 노력</v>
      </c>
      <c r="M51" s="1"/>
      <c r="O51" s="1"/>
    </row>
    <row r="52" spans="1:15" ht="16.5" customHeight="1">
      <c r="A52" s="1">
        <v>50</v>
      </c>
      <c r="B52" s="1" t="str">
        <f ca="1">IFERROR(__xludf.DUMMYFUNCTION("GOOGLETRANSLATE(B52, ""en"", ""ko"")"),"컨디셔닝 운동")</f>
        <v>컨디셔닝 운동</v>
      </c>
      <c r="C52" s="1">
        <v>2007</v>
      </c>
      <c r="D52" s="1">
        <v>10</v>
      </c>
      <c r="E52" s="1" t="str">
        <f ca="1">IFERROR(__xludf.DUMMYFUNCTION("GOOGLETRANSLATE(E52, ""en"", ""ko"")"),"10-15poud 무게를 들고 에어로빅 댄스를 합니다.")</f>
        <v>10-15poud 무게를 들고 에어로빅 댄스를 합니다.</v>
      </c>
      <c r="M52" s="1"/>
      <c r="O52" s="1"/>
    </row>
    <row r="53" spans="1:15" ht="16.5" customHeight="1">
      <c r="A53" s="1">
        <v>51</v>
      </c>
      <c r="B53" s="1" t="str">
        <f ca="1">IFERROR(__xludf.DUMMYFUNCTION("GOOGLETRANSLATE(B53, ""en"", ""ko"")"),"컨디셔닝 운동")</f>
        <v>컨디셔닝 운동</v>
      </c>
      <c r="C53" s="1">
        <v>2008</v>
      </c>
      <c r="D53" s="1">
        <v>5</v>
      </c>
      <c r="E53" s="1" t="str">
        <f ca="1">IFERROR(__xludf.DUMMYFUNCTION("GOOGLETRANSLATE(E53, ""en"", ""ko"")"),"육군형 장애물 코스 훈련, 신병 훈련 프로그램")</f>
        <v>육군형 장애물 코스 훈련, 신병 훈련 프로그램</v>
      </c>
      <c r="M53" s="1"/>
      <c r="O53" s="1"/>
    </row>
    <row r="54" spans="1:15" ht="16.5" customHeight="1">
      <c r="A54" s="1">
        <v>52</v>
      </c>
      <c r="B54" s="1" t="str">
        <f ca="1">IFERROR(__xludf.DUMMYFUNCTION("GOOGLETRANSLATE(B54, ""en"", ""ko"")"),"컨디셔닝 운동")</f>
        <v>컨디셔닝 운동</v>
      </c>
      <c r="C54" s="1">
        <v>2020</v>
      </c>
      <c r="D54" s="1">
        <v>7.5</v>
      </c>
      <c r="E54" s="1" t="str">
        <f ca="1">IFERROR(__xludf.DUMMYFUNCTION("GOOGLETRANSLATE(E54, ""en"", ""ko"")"),"체조(예: 팔굽혀펴기, 윗몸 일으키기, 풀업, 점핑잭, 버피, 배틀링 로프), 격렬한 노력")</f>
        <v>체조(예: 팔굽혀펴기, 윗몸 일으키기, 풀업, 점핑잭, 버피, 배틀링 로프), 격렬한 노력</v>
      </c>
      <c r="M54" s="1"/>
      <c r="O54" s="1"/>
    </row>
    <row r="55" spans="1:15" ht="16.5" customHeight="1">
      <c r="A55" s="1">
        <v>53</v>
      </c>
      <c r="B55" s="1" t="str">
        <f ca="1">IFERROR(__xludf.DUMMYFUNCTION("GOOGLETRANSLATE(B55, ""en"", ""ko"")"),"컨디셔닝 운동")</f>
        <v>컨디셔닝 운동</v>
      </c>
      <c r="C55" s="1">
        <v>2022</v>
      </c>
      <c r="D55" s="1">
        <v>3.8</v>
      </c>
      <c r="E55" s="1" t="str">
        <f ca="1">IFERROR(__xludf.DUMMYFUNCTION("GOOGLETRANSLATE(E55, ""en"", ""ko"")"),"체조(예: 팔굽혀펴기, 윗몸일으키기, 풀업, 런지), 중간 강도의 노력")</f>
        <v>체조(예: 팔굽혀펴기, 윗몸일으키기, 풀업, 런지), 중간 강도의 노력</v>
      </c>
      <c r="M55" s="1"/>
      <c r="O55" s="1"/>
    </row>
    <row r="56" spans="1:15" ht="16.5" customHeight="1">
      <c r="A56" s="1">
        <v>54</v>
      </c>
      <c r="B56" s="1" t="str">
        <f ca="1">IFERROR(__xludf.DUMMYFUNCTION("GOOGLETRANSLATE(B56, ""en"", ""ko"")"),"컨디셔닝 운동")</f>
        <v>컨디셔닝 운동</v>
      </c>
      <c r="C56" s="1">
        <v>2024</v>
      </c>
      <c r="D56" s="1">
        <v>2.8</v>
      </c>
      <c r="E56" s="1" t="str">
        <f ca="1">IFERROR(__xludf.DUMMYFUNCTION("GOOGLETRANSLATE(E56, ""en"", ""ko"")"),"체조(예: 컬업, 복부 크런치, 플랭크), 가벼운 노력")</f>
        <v>체조(예: 컬업, 복부 크런치, 플랭크), 가벼운 노력</v>
      </c>
      <c r="M56" s="1"/>
      <c r="O56" s="1"/>
    </row>
    <row r="57" spans="1:15" ht="16.5" customHeight="1">
      <c r="A57" s="1">
        <v>55</v>
      </c>
      <c r="B57" s="1" t="str">
        <f ca="1">IFERROR(__xludf.DUMMYFUNCTION("GOOGLETRANSLATE(B57, ""en"", ""ko"")"),"컨디셔닝 운동")</f>
        <v>컨디셔닝 운동</v>
      </c>
      <c r="C57" s="1">
        <v>2030</v>
      </c>
      <c r="D57" s="1">
        <v>3.5</v>
      </c>
      <c r="E57" s="1" t="str">
        <f ca="1">IFERROR(__xludf.DUMMYFUNCTION("GOOGLETRANSLATE(E57, ""en"", ""ko"")"),"체조, 가볍거나 중간 정도의 노력, 일반(예: 등 운동), 바닥에서 위아래로 이동")</f>
        <v>체조, 가볍거나 중간 정도의 노력, 일반(예: 등 운동), 바닥에서 위아래로 이동</v>
      </c>
      <c r="M57" s="1"/>
      <c r="O57" s="1"/>
    </row>
    <row r="58" spans="1:15" ht="16.5" customHeight="1">
      <c r="A58" s="1">
        <v>56</v>
      </c>
      <c r="B58" s="1" t="str">
        <f ca="1">IFERROR(__xludf.DUMMYFUNCTION("GOOGLETRANSLATE(B58, ""en"", ""ko"")"),"컨디셔닝 운동")</f>
        <v>컨디셔닝 운동</v>
      </c>
      <c r="C58" s="1">
        <v>2032</v>
      </c>
      <c r="D58" s="1">
        <v>6</v>
      </c>
      <c r="E58" s="1" t="str">
        <f ca="1">IFERROR(__xludf.DUMMYFUNCTION("GOOGLETRANSLATE(E58, ""en"", ""ko"")"),"서킷 훈련, 체중 운동")</f>
        <v>서킷 훈련, 체중 운동</v>
      </c>
      <c r="M58" s="1"/>
      <c r="O58" s="1"/>
    </row>
    <row r="59" spans="1:15" ht="16.5" customHeight="1">
      <c r="A59" s="1">
        <v>57</v>
      </c>
      <c r="B59" s="1" t="str">
        <f ca="1">IFERROR(__xludf.DUMMYFUNCTION("GOOGLETRANSLATE(B59, ""en"", ""ko"")"),"컨디셔닝 운동")</f>
        <v>컨디셔닝 운동</v>
      </c>
      <c r="C59" s="1">
        <v>2034</v>
      </c>
      <c r="D59" s="1">
        <v>3.5</v>
      </c>
      <c r="E59" s="1" t="str">
        <f ca="1">IFERROR(__xludf.DUMMYFUNCTION("GOOGLETRANSLATE(E59, ""en"", ""ko"")"),"서킷 훈련, 가벼운 노력")</f>
        <v>서킷 훈련, 가벼운 노력</v>
      </c>
      <c r="M59" s="1"/>
      <c r="O59" s="1"/>
    </row>
    <row r="60" spans="1:15" ht="16.5" customHeight="1">
      <c r="A60" s="1">
        <v>58</v>
      </c>
      <c r="B60" s="1" t="str">
        <f ca="1">IFERROR(__xludf.DUMMYFUNCTION("GOOGLETRANSLATE(B60, ""en"", ""ko"")"),"컨디셔닝 운동")</f>
        <v>컨디셔닝 운동</v>
      </c>
      <c r="C60" s="1">
        <v>2035</v>
      </c>
      <c r="D60" s="1">
        <v>5</v>
      </c>
      <c r="E60" s="1" t="str">
        <f ca="1">IFERROR(__xludf.DUMMYFUNCTION("GOOGLETRANSLATE(E60, ""en"", ""ko"")"),"서킷 훈련, 중간 노력")</f>
        <v>서킷 훈련, 중간 노력</v>
      </c>
      <c r="M60" s="1"/>
      <c r="O60" s="1"/>
    </row>
    <row r="61" spans="1:15" ht="16.5" customHeight="1">
      <c r="A61" s="1">
        <v>59</v>
      </c>
      <c r="B61" s="1" t="str">
        <f ca="1">IFERROR(__xludf.DUMMYFUNCTION("GOOGLETRANSLATE(B61, ""en"", ""ko"")"),"컨디셔닝 운동")</f>
        <v>컨디셔닝 운동</v>
      </c>
      <c r="C61" s="1">
        <v>2040</v>
      </c>
      <c r="D61" s="1">
        <v>7.5</v>
      </c>
      <c r="E61" s="1" t="str">
        <f ca="1">IFERROR(__xludf.DUMMYFUNCTION("GOOGLETRANSLATE(E61, ""en"", ""ko"")"),"케틀벨을 포함한 서킷 훈련, 최소한의 휴식을 취한 유산소 운동, 일반적이고 강렬한 강도")</f>
        <v>케틀벨을 포함한 서킷 훈련, 최소한의 휴식을 취한 유산소 운동, 일반적이고 강렬한 강도</v>
      </c>
      <c r="M61" s="1"/>
      <c r="O61" s="1"/>
    </row>
    <row r="62" spans="1:15" ht="16.5" customHeight="1">
      <c r="A62" s="1">
        <v>60</v>
      </c>
      <c r="B62" s="1" t="str">
        <f ca="1">IFERROR(__xludf.DUMMYFUNCTION("GOOGLETRANSLATE(B62, ""en"", ""ko"")"),"컨디셔닝 운동")</f>
        <v>컨디셔닝 운동</v>
      </c>
      <c r="C62" s="1">
        <v>2045</v>
      </c>
      <c r="D62" s="1">
        <v>3.5</v>
      </c>
      <c r="E62" s="1" t="str">
        <f ca="1">IFERROR(__xludf.DUMMYFUNCTION("GOOGLETRANSLATE(E62, ""en"", ""ko"")"),"여성의 운동 루틴")</f>
        <v>여성의 운동 루틴</v>
      </c>
      <c r="M62" s="1"/>
      <c r="O62" s="1"/>
    </row>
    <row r="63" spans="1:15" ht="16.5" customHeight="1">
      <c r="A63" s="1">
        <v>61</v>
      </c>
      <c r="B63" s="1" t="str">
        <f ca="1">IFERROR(__xludf.DUMMYFUNCTION("GOOGLETRANSLATE(B63, ""en"", ""ko"")"),"컨디셔닝 운동")</f>
        <v>컨디셔닝 운동</v>
      </c>
      <c r="C63" s="1">
        <v>2048</v>
      </c>
      <c r="D63" s="1">
        <v>5</v>
      </c>
      <c r="E63" s="1" t="str">
        <f ca="1">IFERROR(__xludf.DUMMYFUNCTION("GOOGLETRANSLATE(E63, ""en"", ""ko"")"),"엘립티컬 트레이너, 중간 강도")</f>
        <v>엘립티컬 트레이너, 중간 강도</v>
      </c>
      <c r="M63" s="1"/>
      <c r="O63" s="1"/>
    </row>
    <row r="64" spans="1:15" ht="16.5" customHeight="1">
      <c r="A64" s="1">
        <v>62</v>
      </c>
      <c r="B64" s="1" t="str">
        <f ca="1">IFERROR(__xludf.DUMMYFUNCTION("GOOGLETRANSLATE(B64, ""en"", ""ko"")"),"컨디셔닝 운동")</f>
        <v>컨디셔닝 운동</v>
      </c>
      <c r="C64" s="1">
        <v>2049</v>
      </c>
      <c r="D64" s="1">
        <v>9</v>
      </c>
      <c r="E64" s="1" t="str">
        <f ca="1">IFERROR(__xludf.DUMMYFUNCTION("GOOGLETRANSLATE(E64, ""en"", ""ko"")"),"엘립티컬 트레이너, 강렬한 노력")</f>
        <v>엘립티컬 트레이너, 강렬한 노력</v>
      </c>
      <c r="M64" s="1"/>
      <c r="O64" s="1"/>
    </row>
    <row r="65" spans="1:15" ht="16.5" customHeight="1">
      <c r="A65" s="1">
        <v>63</v>
      </c>
      <c r="B65" s="1" t="str">
        <f ca="1">IFERROR(__xludf.DUMMYFUNCTION("GOOGLETRANSLATE(B65, ""en"", ""ko"")"),"컨디셔닝 운동")</f>
        <v>컨디셔닝 운동</v>
      </c>
      <c r="C65" s="1">
        <v>2050</v>
      </c>
      <c r="D65" s="1">
        <v>6</v>
      </c>
      <c r="E65" s="3" t="s">
        <v>4</v>
      </c>
      <c r="M65" s="1"/>
      <c r="O65" s="1"/>
    </row>
    <row r="66" spans="1:15" ht="16.5" customHeight="1">
      <c r="A66" s="1">
        <v>64</v>
      </c>
      <c r="B66" s="1" t="str">
        <f ca="1">IFERROR(__xludf.DUMMYFUNCTION("GOOGLETRANSLATE(B66, ""en"", ""ko"")"),"컨디셔닝 운동")</f>
        <v>컨디셔닝 운동</v>
      </c>
      <c r="C66" s="1">
        <v>2050</v>
      </c>
      <c r="D66" s="1">
        <v>6</v>
      </c>
      <c r="E66" s="1" t="str">
        <f ca="1">IFERROR(__xludf.DUMMYFUNCTION("GOOGLETRANSLATE(E66, ""en"", ""ko"")"),"저항(역도 - 자유 중량, 노틸러스 또는 유니버설 타입), 파워 리프팅 또는 보디 빌딩, 격렬한 노력")</f>
        <v>저항(역도 - 자유 중량, 노틸러스 또는 유니버설 타입), 파워 리프팅 또는 보디 빌딩, 격렬한 노력</v>
      </c>
      <c r="M66" s="1"/>
      <c r="O66" s="1"/>
    </row>
    <row r="67" spans="1:15" ht="16.5" customHeight="1">
      <c r="A67" s="1">
        <v>65</v>
      </c>
      <c r="B67" s="1" t="str">
        <f ca="1">IFERROR(__xludf.DUMMYFUNCTION("GOOGLETRANSLATE(B67, ""en"", ""ko"")"),"컨디셔닝 운동")</f>
        <v>컨디셔닝 운동</v>
      </c>
      <c r="C67" s="1">
        <v>2052</v>
      </c>
      <c r="D67" s="1">
        <v>5</v>
      </c>
      <c r="E67" s="1" t="str">
        <f ca="1">IFERROR(__xludf.DUMMYFUNCTION("GOOGLETRANSLATE(E67, ""en"", ""ko"")"),"저항(체중) 훈련, 스쿼트, 데드리프트, 느리거나 폭발적인 노력")</f>
        <v>저항(체중) 훈련, 스쿼트, 데드리프트, 느리거나 폭발적인 노력</v>
      </c>
      <c r="M67" s="1"/>
      <c r="O67" s="1"/>
    </row>
    <row r="68" spans="1:15" ht="16.5" customHeight="1">
      <c r="A68" s="1">
        <v>66</v>
      </c>
      <c r="B68" s="1" t="str">
        <f ca="1">IFERROR(__xludf.DUMMYFUNCTION("GOOGLETRANSLATE(B68, ""en"", ""ko"")"),"컨디셔닝 운동")</f>
        <v>컨디셔닝 운동</v>
      </c>
      <c r="C68" s="1">
        <v>2054</v>
      </c>
      <c r="D68" s="1">
        <v>3.5</v>
      </c>
      <c r="E68" s="1" t="str">
        <f ca="1">IFERROR(__xludf.DUMMYFUNCTION("GOOGLETRANSLATE(E68, ""en"", ""ko"")"),"저항(체중) 훈련, 다양한 저항에서 8~15회 반복하는 다중 운동")</f>
        <v>저항(체중) 훈련, 다양한 저항에서 8~15회 반복하는 다중 운동</v>
      </c>
      <c r="M68" s="1"/>
      <c r="O68" s="1"/>
    </row>
    <row r="69" spans="1:15" ht="16.5" customHeight="1">
      <c r="A69" s="1">
        <v>67</v>
      </c>
      <c r="B69" s="1" t="str">
        <f ca="1">IFERROR(__xludf.DUMMYFUNCTION("GOOGLETRANSLATE(B69, ""en"", ""ko"")"),"컨디셔닝 운동")</f>
        <v>컨디셔닝 운동</v>
      </c>
      <c r="C69" s="1">
        <v>2055</v>
      </c>
      <c r="D69" s="1">
        <v>5.8</v>
      </c>
      <c r="E69" s="1" t="str">
        <f ca="1">IFERROR(__xludf.DUMMYFUNCTION("GOOGLETRANSLATE(E69, ""en"", ""ko"")"),"저항 훈련, 서킷 훈련, 상호 슈퍼세트 훈련, 주변 심장 활동 훈련")</f>
        <v>저항 훈련, 서킷 훈련, 상호 슈퍼세트 훈련, 주변 심장 활동 훈련</v>
      </c>
      <c r="M69" s="1"/>
      <c r="O69" s="1"/>
    </row>
    <row r="70" spans="1:15" ht="16.5" customHeight="1">
      <c r="A70" s="1">
        <v>68</v>
      </c>
      <c r="B70" s="1" t="str">
        <f ca="1">IFERROR(__xludf.DUMMYFUNCTION("GOOGLETRANSLATE(B70, ""en"", ""ko"")"),"컨디셔닝 운동")</f>
        <v>컨디셔닝 운동</v>
      </c>
      <c r="C70" s="1">
        <v>2056</v>
      </c>
      <c r="D70" s="1">
        <v>3</v>
      </c>
      <c r="E70" s="1" t="str">
        <f ca="1">IFERROR(__xludf.DUMMYFUNCTION("GOOGLETRANSLATE(E70, ""en"", ""ko"")"),"체중 저항 운동(예: 스쿼트, 런지, 푸쉬업, 크런치), 일반")</f>
        <v>체중 저항 운동(예: 스쿼트, 런지, 푸쉬업, 크런치), 일반</v>
      </c>
      <c r="M70" s="1"/>
      <c r="O70" s="1"/>
    </row>
    <row r="71" spans="1:15" ht="16.5" customHeight="1">
      <c r="A71" s="1">
        <v>69</v>
      </c>
      <c r="B71" s="1" t="str">
        <f ca="1">IFERROR(__xludf.DUMMYFUNCTION("GOOGLETRANSLATE(B71, ""en"", ""ko"")"),"컨디셔닝 운동")</f>
        <v>컨디셔닝 운동</v>
      </c>
      <c r="C71" s="1">
        <v>2057</v>
      </c>
      <c r="D71" s="1">
        <v>6.5</v>
      </c>
      <c r="E71" s="1" t="str">
        <f ca="1">IFERROR(__xludf.DUMMYFUNCTION("GOOGLETRANSLATE(E71, ""en"", ""ko"")"),"체중 저항 운동(예: 스쿼트, 런지, 푸쉬업, 크런치), 고강도")</f>
        <v>체중 저항 운동(예: 스쿼트, 런지, 푸쉬업, 크런치), 고강도</v>
      </c>
      <c r="M71" s="1"/>
      <c r="O71" s="1"/>
    </row>
    <row r="72" spans="1:15" ht="16.5" customHeight="1">
      <c r="A72" s="1">
        <v>70</v>
      </c>
      <c r="B72" s="1" t="str">
        <f ca="1">IFERROR(__xludf.DUMMYFUNCTION("GOOGLETRANSLATE(B72, ""en"", ""ko"")"),"컨디셔닝 운동")</f>
        <v>컨디셔닝 운동</v>
      </c>
      <c r="C72" s="1">
        <v>2058</v>
      </c>
      <c r="D72" s="1">
        <v>9.8000000000000007</v>
      </c>
      <c r="E72" s="1" t="str">
        <f ca="1">IFERROR(__xludf.DUMMYFUNCTION("GOOGLETRANSLATE(E72, ""en"", ""ko"")"),"케틀벨 스윙")</f>
        <v>케틀벨 스윙</v>
      </c>
      <c r="M72" s="1"/>
      <c r="O72" s="1"/>
    </row>
    <row r="73" spans="1:15" ht="16.5" customHeight="1">
      <c r="A73" s="1">
        <v>71</v>
      </c>
      <c r="B73" s="1" t="str">
        <f ca="1">IFERROR(__xludf.DUMMYFUNCTION("GOOGLETRANSLATE(B73, ""en"", ""ko"")"),"컨디셔닝 운동")</f>
        <v>컨디셔닝 운동</v>
      </c>
      <c r="C73" s="1">
        <v>2060</v>
      </c>
      <c r="D73" s="1">
        <v>5.5</v>
      </c>
      <c r="E73" s="1" t="str">
        <f ca="1">IFERROR(__xludf.DUMMYFUNCTION("GOOGLETRANSLATE(E73, ""en"", ""ko"")"),"헬스클럽 운동, 일반")</f>
        <v>헬스클럽 운동, 일반</v>
      </c>
      <c r="M73" s="1"/>
      <c r="O73" s="1"/>
    </row>
    <row r="74" spans="1:15" ht="16.5" customHeight="1">
      <c r="A74" s="1">
        <v>72</v>
      </c>
      <c r="B74" s="1" t="str">
        <f ca="1">IFERROR(__xludf.DUMMYFUNCTION("GOOGLETRANSLATE(B74, ""en"", ""ko"")"),"컨디셔닝 운동")</f>
        <v>컨디셔닝 운동</v>
      </c>
      <c r="C74" s="1">
        <v>2061</v>
      </c>
      <c r="D74" s="1">
        <v>5</v>
      </c>
      <c r="E74" s="1" t="str">
        <f ca="1">IFERROR(__xludf.DUMMYFUNCTION("GOOGLETRANSLATE(E74, ""en"", ""ko"")"),"헬스클럽 운동 수업 일반, 헬스장/웨이트 트레이닝을 한 번의 방문으로 결합")</f>
        <v>헬스클럽 운동 수업 일반, 헬스장/웨이트 트레이닝을 한 번의 방문으로 결합</v>
      </c>
      <c r="M74" s="1"/>
      <c r="O74" s="1"/>
    </row>
    <row r="75" spans="1:15" ht="16.5" customHeight="1">
      <c r="A75" s="1">
        <v>73</v>
      </c>
      <c r="B75" s="1" t="str">
        <f ca="1">IFERROR(__xludf.DUMMYFUNCTION("GOOGLETRANSLATE(B75, ""en"", ""ko"")"),"컨디셔닝 운동")</f>
        <v>컨디셔닝 운동</v>
      </c>
      <c r="C75" s="1">
        <v>2062</v>
      </c>
      <c r="D75" s="1">
        <v>7.8</v>
      </c>
      <c r="E75" s="1" t="str">
        <f ca="1">IFERROR(__xludf.DUMMYFUNCTION("GOOGLETRANSLATE(E75, ""en"", ""ko"")"),"헬스클럽 운동, 컨디셔닝 수업")</f>
        <v>헬스클럽 운동, 컨디셔닝 수업</v>
      </c>
      <c r="M75" s="1"/>
      <c r="O75" s="1"/>
    </row>
    <row r="76" spans="1:15" ht="16.5" customHeight="1">
      <c r="A76" s="1">
        <v>74</v>
      </c>
      <c r="B76" s="1" t="str">
        <f ca="1">IFERROR(__xludf.DUMMYFUNCTION("GOOGLETRANSLATE(B76, ""en"", ""ko"")"),"컨디셔닝 운동")</f>
        <v>컨디셔닝 운동</v>
      </c>
      <c r="C76" s="1">
        <v>2064</v>
      </c>
      <c r="D76" s="1">
        <v>3.8</v>
      </c>
      <c r="E76" s="1" t="str">
        <f ca="1">IFERROR(__xludf.DUMMYFUNCTION("GOOGLETRANSLATE(E76, ""en"", ""ko"")"),"집에서 하는 운동, 일반")</f>
        <v>집에서 하는 운동, 일반</v>
      </c>
      <c r="M76" s="1"/>
      <c r="O76" s="1"/>
    </row>
    <row r="77" spans="1:15" ht="16.5" customHeight="1">
      <c r="A77" s="1">
        <v>75</v>
      </c>
      <c r="B77" s="1" t="str">
        <f ca="1">IFERROR(__xludf.DUMMYFUNCTION("GOOGLETRANSLATE(B77, ""en"", ""ko"")"),"컨디셔닝 운동")</f>
        <v>컨디셔닝 운동</v>
      </c>
      <c r="C77" s="1">
        <v>2065</v>
      </c>
      <c r="D77" s="1">
        <v>9.3000000000000007</v>
      </c>
      <c r="E77" s="1" t="str">
        <f ca="1">IFERROR(__xludf.DUMMYFUNCTION("GOOGLETRANSLATE(E77, ""en"", ""ko"")"),"계단 트레드밀 에르고미터, 일반")</f>
        <v>계단 트레드밀 에르고미터, 일반</v>
      </c>
      <c r="M77" s="1"/>
      <c r="O77" s="1"/>
    </row>
    <row r="78" spans="1:15" ht="16.5" customHeight="1">
      <c r="A78" s="1">
        <v>76</v>
      </c>
      <c r="B78" s="1" t="str">
        <f ca="1">IFERROR(__xludf.DUMMYFUNCTION("GOOGLETRANSLATE(B78, ""en"", ""ko"")"),"컨디셔닝 운동")</f>
        <v>컨디셔닝 운동</v>
      </c>
      <c r="C78" s="1">
        <v>2068</v>
      </c>
      <c r="D78" s="1">
        <v>11</v>
      </c>
      <c r="E78" s="1" t="str">
        <f ca="1">IFERROR(__xludf.DUMMYFUNCTION("GOOGLETRANSLATE(E78, ""en"", ""ko"")"),"로프 스킵핑 운동, 일반")</f>
        <v>로프 스킵핑 운동, 일반</v>
      </c>
      <c r="M78" s="1"/>
      <c r="O78" s="1"/>
    </row>
    <row r="79" spans="1:15" ht="16.5" customHeight="1">
      <c r="A79" s="1">
        <v>77</v>
      </c>
      <c r="B79" s="1" t="str">
        <f ca="1">IFERROR(__xludf.DUMMYFUNCTION("GOOGLETRANSLATE(B79, ""en"", ""ko"")"),"컨디셔닝 운동")</f>
        <v>컨디셔닝 운동</v>
      </c>
      <c r="C79" s="1">
        <v>2069</v>
      </c>
      <c r="D79" s="1">
        <v>9</v>
      </c>
      <c r="E79" s="1" t="str">
        <f ca="1">IFERROR(__xludf.DUMMYFUNCTION("GOOGLETRANSLATE(E79, ""en"", ""ko"")"),"점프 로프, 디지점프 머신, 분당 120회 점프")</f>
        <v>점프 로프, 디지점프 머신, 분당 120회 점프</v>
      </c>
      <c r="M79" s="1"/>
      <c r="O79" s="1"/>
    </row>
    <row r="80" spans="1:15" ht="16.5" customHeight="1">
      <c r="A80" s="1">
        <v>78</v>
      </c>
      <c r="B80" s="1" t="str">
        <f ca="1">IFERROR(__xludf.DUMMYFUNCTION("GOOGLETRANSLATE(B80, ""en"", ""ko"")"),"컨디셔닝 운동")</f>
        <v>컨디셔닝 운동</v>
      </c>
      <c r="C80" s="1">
        <v>2070</v>
      </c>
      <c r="D80" s="1">
        <v>7.3</v>
      </c>
      <c r="E80" s="1" t="str">
        <f ca="1">IFERROR(__xludf.DUMMYFUNCTION("GOOGLETRANSLATE(E80, ""en"", ""ko"")"),"로잉, 고정 에르고미터, 일반, 격렬한 노력")</f>
        <v>로잉, 고정 에르고미터, 일반, 격렬한 노력</v>
      </c>
      <c r="M80" s="1"/>
      <c r="O80" s="1"/>
    </row>
    <row r="81" spans="1:15" ht="16.5" customHeight="1">
      <c r="A81" s="1">
        <v>79</v>
      </c>
      <c r="B81" s="1" t="str">
        <f ca="1">IFERROR(__xludf.DUMMYFUNCTION("GOOGLETRANSLATE(B81, ""en"", ""ko"")"),"컨디셔닝 운동")</f>
        <v>컨디셔닝 운동</v>
      </c>
      <c r="C81" s="1">
        <v>2071</v>
      </c>
      <c r="D81" s="1">
        <v>5</v>
      </c>
      <c r="E81" s="1" t="str">
        <f ca="1">IFERROR(__xludf.DUMMYFUNCTION("GOOGLETRANSLATE(E81, ""en"", ""ko"")"),"로잉, 고정식 에르고미터, 일반, &lt;100와트, 중간 노력")</f>
        <v>로잉, 고정식 에르고미터, 일반, &lt;100와트, 중간 노력</v>
      </c>
      <c r="M81" s="1"/>
      <c r="O81" s="1"/>
    </row>
    <row r="82" spans="1:15" ht="16.5" customHeight="1">
      <c r="A82" s="1">
        <v>80</v>
      </c>
      <c r="B82" s="1" t="str">
        <f ca="1">IFERROR(__xludf.DUMMYFUNCTION("GOOGLETRANSLATE(B82, ""en"", ""ko"")"),"컨디셔닝 운동")</f>
        <v>컨디셔닝 운동</v>
      </c>
      <c r="C82" s="1">
        <v>2072</v>
      </c>
      <c r="D82" s="1">
        <v>7.5</v>
      </c>
      <c r="E82" s="1" t="str">
        <f ca="1">IFERROR(__xludf.DUMMYFUNCTION("GOOGLETRANSLATE(E82, ""en"", ""ko"")"),"로잉, 고정, 100~149와트, 강렬한 노력")</f>
        <v>로잉, 고정, 100~149와트, 강렬한 노력</v>
      </c>
      <c r="M82" s="1"/>
      <c r="O82" s="1"/>
    </row>
    <row r="83" spans="1:15" ht="16.5" customHeight="1">
      <c r="A83" s="1">
        <v>81</v>
      </c>
      <c r="B83" s="1" t="str">
        <f ca="1">IFERROR(__xludf.DUMMYFUNCTION("GOOGLETRANSLATE(B83, ""en"", ""ko"")"),"컨디셔닝 운동")</f>
        <v>컨디셔닝 운동</v>
      </c>
      <c r="C83" s="1">
        <v>2073</v>
      </c>
      <c r="D83" s="1">
        <v>11</v>
      </c>
      <c r="E83" s="1" t="str">
        <f ca="1">IFERROR(__xludf.DUMMYFUNCTION("GOOGLETRANSLATE(E83, ""en"", ""ko"")"),"로잉, 고정, 150~199와트, 강렬한 노력")</f>
        <v>로잉, 고정, 150~199와트, 강렬한 노력</v>
      </c>
      <c r="M83" s="1"/>
      <c r="O83" s="1"/>
    </row>
    <row r="84" spans="1:15" ht="16.5" customHeight="1">
      <c r="A84" s="1">
        <v>82</v>
      </c>
      <c r="B84" s="1" t="str">
        <f ca="1">IFERROR(__xludf.DUMMYFUNCTION("GOOGLETRANSLATE(B84, ""en"", ""ko"")"),"컨디셔닝 운동")</f>
        <v>컨디셔닝 운동</v>
      </c>
      <c r="C84" s="1">
        <v>2074</v>
      </c>
      <c r="D84" s="1">
        <v>14</v>
      </c>
      <c r="E84" s="1" t="str">
        <f ca="1">IFERROR(__xludf.DUMMYFUNCTION("GOOGLETRANSLATE(E84, ""en"", ""ko"")"),"로잉, 고정, 200와트, 매우 강렬한 노력")</f>
        <v>로잉, 고정, 200와트, 매우 강렬한 노력</v>
      </c>
      <c r="M84" s="1"/>
      <c r="O84" s="1"/>
    </row>
    <row r="85" spans="1:15" ht="16.5" customHeight="1">
      <c r="A85" s="1">
        <v>83</v>
      </c>
      <c r="B85" s="1" t="str">
        <f ca="1">IFERROR(__xludf.DUMMYFUNCTION("GOOGLETRANSLATE(B85, ""en"", ""ko"")"),"컨디셔닝 운동")</f>
        <v>컨디셔닝 운동</v>
      </c>
      <c r="C85" s="1">
        <v>2078</v>
      </c>
      <c r="D85" s="1">
        <v>11</v>
      </c>
      <c r="E85" s="1" t="str">
        <f ca="1">IFERROR(__xludf.DUMMYFUNCTION("GOOGLETRANSLATE(E85, ""en"", ""ko"")"),"셔틀 러닝, 앞/뒤/옆")</f>
        <v>셔틀 러닝, 앞/뒤/옆</v>
      </c>
      <c r="M85" s="1"/>
      <c r="O85" s="1"/>
    </row>
    <row r="86" spans="1:15" ht="16.5" customHeight="1">
      <c r="A86" s="1">
        <v>84</v>
      </c>
      <c r="B86" s="1" t="str">
        <f ca="1">IFERROR(__xludf.DUMMYFUNCTION("GOOGLETRANSLATE(B86, ""en"", ""ko"")"),"컨디셔닝 운동")</f>
        <v>컨디셔닝 운동</v>
      </c>
      <c r="C86" s="1">
        <v>2080</v>
      </c>
      <c r="D86" s="1">
        <v>6.8</v>
      </c>
      <c r="E86" s="1" t="str">
        <f ca="1">IFERROR(__xludf.DUMMYFUNCTION("GOOGLETRANSLATE(E86, ""en"", ""ko"")"),"스키머신, 일반")</f>
        <v>스키머신, 일반</v>
      </c>
      <c r="M86" s="1"/>
      <c r="O86" s="1"/>
    </row>
    <row r="87" spans="1:15" ht="16.5" customHeight="1">
      <c r="A87" s="1">
        <v>85</v>
      </c>
      <c r="B87" s="1" t="str">
        <f ca="1">IFERROR(__xludf.DUMMYFUNCTION("GOOGLETRANSLATE(B87, ""en"", ""ko"")"),"컨디셔닝 운동")</f>
        <v>컨디셔닝 운동</v>
      </c>
      <c r="C87" s="1">
        <v>2082</v>
      </c>
      <c r="D87" s="1">
        <v>10.5</v>
      </c>
      <c r="E87" s="1" t="str">
        <f ca="1">IFERROR(__xludf.DUMMYFUNCTION("GOOGLETRANSLATE(E87, ""en"", ""ko"")"),"스키 에르고미터, 크로스컨트리, 더블 폴링, 느림~중간 속도")</f>
        <v>스키 에르고미터, 크로스컨트리, 더블 폴링, 느림~중간 속도</v>
      </c>
      <c r="M87" s="1"/>
      <c r="O87" s="1"/>
    </row>
    <row r="88" spans="1:15" ht="16.5" customHeight="1">
      <c r="A88" s="1">
        <v>86</v>
      </c>
      <c r="B88" s="1" t="str">
        <f ca="1">IFERROR(__xludf.DUMMYFUNCTION("GOOGLETRANSLATE(B88, ""en"", ""ko"")"),"컨디셔닝 운동")</f>
        <v>컨디셔닝 운동</v>
      </c>
      <c r="C88" s="1">
        <v>2084</v>
      </c>
      <c r="D88" s="1">
        <v>18</v>
      </c>
      <c r="E88" s="1" t="str">
        <f ca="1">IFERROR(__xludf.DUMMYFUNCTION("GOOGLETRANSLATE(E88, ""en"", ""ko"")"),"스키 에르고미터, 크로스컨트리, 더블 폴링, 최대 속도까지 빠르게")</f>
        <v>스키 에르고미터, 크로스컨트리, 더블 폴링, 최대 속도까지 빠르게</v>
      </c>
      <c r="M88" s="1"/>
      <c r="O88" s="1"/>
    </row>
    <row r="89" spans="1:15" ht="16.5" customHeight="1">
      <c r="A89" s="1">
        <v>87</v>
      </c>
      <c r="B89" s="1" t="str">
        <f ca="1">IFERROR(__xludf.DUMMYFUNCTION("GOOGLETRANSLATE(B89, ""en"", ""ko"")"),"컨디셔닝 운동")</f>
        <v>컨디셔닝 운동</v>
      </c>
      <c r="C89" s="1">
        <v>2085</v>
      </c>
      <c r="D89" s="1">
        <v>10.5</v>
      </c>
      <c r="E89" s="1" t="str">
        <f ca="1">IFERROR(__xludf.DUMMYFUNCTION("GOOGLETRANSLATE(E89, ""en"", ""ko"")"),"슬라이드보드 운동, 일반")</f>
        <v>슬라이드보드 운동, 일반</v>
      </c>
      <c r="M89" s="1"/>
      <c r="O89" s="1"/>
    </row>
    <row r="90" spans="1:15" ht="16.5" customHeight="1">
      <c r="A90" s="1">
        <v>88</v>
      </c>
      <c r="B90" s="1" t="str">
        <f ca="1">IFERROR(__xludf.DUMMYFUNCTION("GOOGLETRANSLATE(B90, ""en"", ""ko"")"),"컨디셔닝 운동")</f>
        <v>컨디셔닝 운동</v>
      </c>
      <c r="C90" s="1">
        <v>2090</v>
      </c>
      <c r="D90" s="1">
        <v>6</v>
      </c>
      <c r="E90" s="1" t="str">
        <f ca="1">IFERROR(__xludf.DUMMYFUNCTION("GOOGLETRANSLATE(E90, ""en"", ""ko"")"),"슬림내스틱, 재저사이즈")</f>
        <v>슬림내스틱, 재저사이즈</v>
      </c>
      <c r="M90" s="1"/>
      <c r="O90" s="1"/>
    </row>
    <row r="91" spans="1:15" ht="16.5" customHeight="1">
      <c r="A91" s="1">
        <v>89</v>
      </c>
      <c r="B91" s="1" t="str">
        <f ca="1">IFERROR(__xludf.DUMMYFUNCTION("GOOGLETRANSLATE(B91, ""en"", ""ko"")"),"컨디셔닝 운동")</f>
        <v>컨디셔닝 운동</v>
      </c>
      <c r="C91" s="1">
        <v>2101</v>
      </c>
      <c r="D91" s="1">
        <v>2.2999999999999998</v>
      </c>
      <c r="E91" s="1" t="str">
        <f ca="1">IFERROR(__xludf.DUMMYFUNCTION("GOOGLETRANSLATE(E91, ""en"", ""ko"")"),"스트레칭, 가벼운")</f>
        <v>스트레칭, 가벼운</v>
      </c>
      <c r="M91" s="1"/>
      <c r="O91" s="1"/>
    </row>
    <row r="92" spans="1:15" ht="16.5" customHeight="1">
      <c r="A92" s="1">
        <v>90</v>
      </c>
      <c r="B92" s="1" t="str">
        <f ca="1">IFERROR(__xludf.DUMMYFUNCTION("GOOGLETRANSLATE(B92, ""en"", ""ko"")"),"컨디셔닝 운동")</f>
        <v>컨디셔닝 운동</v>
      </c>
      <c r="C92" s="1">
        <v>2103</v>
      </c>
      <c r="D92" s="1">
        <v>1.8</v>
      </c>
      <c r="E92" s="1" t="str">
        <f ca="1">IFERROR(__xludf.DUMMYFUNCTION("GOOGLETRANSLATE(E92, ""en"", ""ko"")"),"필라테스, 전통, 매트")</f>
        <v>필라테스, 전통, 매트</v>
      </c>
      <c r="M92" s="1"/>
      <c r="O92" s="1"/>
    </row>
    <row r="93" spans="1:15" ht="16.5" customHeight="1">
      <c r="A93" s="1">
        <v>91</v>
      </c>
      <c r="B93" s="1" t="str">
        <f ca="1">IFERROR(__xludf.DUMMYFUNCTION("GOOGLETRANSLATE(B93, ""en"", ""ko"")"),"컨디셔닝 운동")</f>
        <v>컨디셔닝 운동</v>
      </c>
      <c r="C93" s="1">
        <v>2105</v>
      </c>
      <c r="D93" s="1">
        <v>2.8</v>
      </c>
      <c r="E93" s="1" t="str">
        <f ca="1">IFERROR(__xludf.DUMMYFUNCTION("GOOGLETRANSLATE(E93, ""en"", ""ko"")"),"필라테스, 일반")</f>
        <v>필라테스, 일반</v>
      </c>
      <c r="M93" s="1"/>
      <c r="O93" s="1"/>
    </row>
    <row r="94" spans="1:15" ht="16.5" customHeight="1">
      <c r="A94" s="1">
        <v>92</v>
      </c>
      <c r="B94" s="1" t="str">
        <f ca="1">IFERROR(__xludf.DUMMYFUNCTION("GOOGLETRANSLATE(B94, ""en"", ""ko"")"),"컨디셔닝 운동")</f>
        <v>컨디셔닝 운동</v>
      </c>
      <c r="C94" s="1">
        <v>2107</v>
      </c>
      <c r="D94" s="1">
        <v>8.5</v>
      </c>
      <c r="E94" s="1" t="str">
        <f ca="1">IFERROR(__xludf.DUMMYFUNCTION("GOOGLETRANSLATE(E94, ""en"", ""ko"")"),"poud, 필라테스와 드럼 연주를 결합한 바디 무브먼트")</f>
        <v>poud, 필라테스와 드럼 연주를 결합한 바디 무브먼트</v>
      </c>
      <c r="M94" s="1"/>
      <c r="O94" s="1"/>
    </row>
    <row r="95" spans="1:15" ht="16.5" customHeight="1">
      <c r="A95" s="1">
        <v>93</v>
      </c>
      <c r="B95" s="1" t="str">
        <f ca="1">IFERROR(__xludf.DUMMYFUNCTION("GOOGLETRANSLATE(B95, ""en"", ""ko"")"),"컨디셔닝 운동")</f>
        <v>컨디셔닝 운동</v>
      </c>
      <c r="C95" s="1">
        <v>2108</v>
      </c>
      <c r="D95" s="1">
        <v>4.5</v>
      </c>
      <c r="E95" s="1" t="str">
        <f ca="1">IFERROR(__xludf.DUMMYFUNCTION("GOOGLETRANSLATE(E95, ""en"", ""ko"")"),"폴댄스, 운동 수업")</f>
        <v>폴댄스, 운동 수업</v>
      </c>
      <c r="M95" s="1"/>
      <c r="O95" s="1"/>
    </row>
    <row r="96" spans="1:15" ht="16.5" customHeight="1">
      <c r="A96" s="1">
        <v>94</v>
      </c>
      <c r="B96" s="1" t="str">
        <f ca="1">IFERROR(__xludf.DUMMYFUNCTION("GOOGLETRANSLATE(B96, ""en"", ""ko"")"),"컨디셔닝 운동")</f>
        <v>컨디셔닝 운동</v>
      </c>
      <c r="C96" s="1">
        <v>2110</v>
      </c>
      <c r="D96" s="1">
        <v>6.8</v>
      </c>
      <c r="E96" s="1" t="str">
        <f ca="1">IFERROR(__xludf.DUMMYFUNCTION("GOOGLETRANSLATE(E96, ""en"", ""ko"")"),"운동 수업(예: 유산소 운동, 수중 운동) 가르치기")</f>
        <v>운동 수업(예: 유산소 운동, 수중 운동) 가르치기</v>
      </c>
      <c r="M96" s="1"/>
      <c r="O96" s="1"/>
    </row>
    <row r="97" spans="1:15" ht="16.5" customHeight="1">
      <c r="A97" s="1">
        <v>95</v>
      </c>
      <c r="B97" s="1" t="str">
        <f ca="1">IFERROR(__xludf.DUMMYFUNCTION("GOOGLETRANSLATE(B97, ""en"", ""ko"")"),"컨디셔닝 운동")</f>
        <v>컨디셔닝 운동</v>
      </c>
      <c r="C97" s="1">
        <v>2112</v>
      </c>
      <c r="D97" s="1">
        <v>2.8</v>
      </c>
      <c r="E97" s="1" t="str">
        <f ca="1">IFERROR(__xludf.DUMMYFUNCTION("GOOGLETRANSLATE(E97, ""en"", ""ko"")"),"치료용 운동 볼, 핏볼 운동")</f>
        <v>치료용 운동 볼, 핏볼 운동</v>
      </c>
      <c r="M97" s="1"/>
      <c r="O97" s="1"/>
    </row>
    <row r="98" spans="1:15" ht="16.5" customHeight="1">
      <c r="A98" s="1">
        <v>96</v>
      </c>
      <c r="B98" s="1" t="str">
        <f ca="1">IFERROR(__xludf.DUMMYFUNCTION("GOOGLETRANSLATE(B98, ""en"", ""ko"")"),"컨디셔닝 운동")</f>
        <v>컨디셔닝 운동</v>
      </c>
      <c r="C98" s="1">
        <v>2114</v>
      </c>
      <c r="D98" s="1">
        <v>9.5</v>
      </c>
      <c r="E98" s="1" t="str">
        <f ca="1">IFERROR(__xludf.DUMMYFUNCTION("GOOGLETRANSLATE(E98, ""en"", ""ko"")"),"치료용 운동 볼, 핏볼 운동, 고강도")</f>
        <v>치료용 운동 볼, 핏볼 운동, 고강도</v>
      </c>
      <c r="M98" s="1"/>
      <c r="O98" s="1"/>
    </row>
    <row r="99" spans="1:15" ht="16.5" customHeight="1">
      <c r="A99" s="1">
        <v>97</v>
      </c>
      <c r="B99" s="1" t="str">
        <f ca="1">IFERROR(__xludf.DUMMYFUNCTION("GOOGLETRANSLATE(B99, ""en"", ""ko"")"),"컨디셔닝 운동")</f>
        <v>컨디셔닝 운동</v>
      </c>
      <c r="C99" s="1">
        <v>2115</v>
      </c>
      <c r="D99" s="1">
        <v>2.8</v>
      </c>
      <c r="E99" s="1" t="str">
        <f ca="1">IFERROR(__xludf.DUMMYFUNCTION("GOOGLETRANSLATE(E99, ""en"", ""ko"")"),"상체 운동, 팔 에르고미터, 일반, 가벼운")</f>
        <v>상체 운동, 팔 에르고미터, 일반, 가벼운</v>
      </c>
      <c r="M99" s="1"/>
      <c r="O99" s="1"/>
    </row>
    <row r="100" spans="1:15" ht="16.5" customHeight="1">
      <c r="A100" s="1">
        <v>98</v>
      </c>
      <c r="B100" s="1" t="str">
        <f ca="1">IFERROR(__xludf.DUMMYFUNCTION("GOOGLETRANSLATE(B100, ""en"", ""ko"")"),"컨디셔닝 운동")</f>
        <v>컨디셔닝 운동</v>
      </c>
      <c r="C100" s="1">
        <v>2116</v>
      </c>
      <c r="D100" s="1">
        <v>2</v>
      </c>
      <c r="E100" s="1" t="str">
        <f ca="1">IFERROR(__xludf.DUMMYFUNCTION("GOOGLETRANSLATE(E100, ""en"", ""ko"")"),"암 에르고미터, 핸드바이크, 15W")</f>
        <v>암 에르고미터, 핸드바이크, 15W</v>
      </c>
      <c r="M100" s="1"/>
      <c r="O100" s="1"/>
    </row>
    <row r="101" spans="1:15" ht="16.5" customHeight="1">
      <c r="A101" s="1">
        <v>99</v>
      </c>
      <c r="B101" s="1" t="str">
        <f ca="1">IFERROR(__xludf.DUMMYFUNCTION("GOOGLETRANSLATE(B101, ""en"", ""ko"")"),"컨디셔닝 운동")</f>
        <v>컨디셔닝 운동</v>
      </c>
      <c r="C101" s="1">
        <v>2117</v>
      </c>
      <c r="D101" s="1">
        <v>2.8</v>
      </c>
      <c r="E101" s="1" t="str">
        <f ca="1">IFERROR(__xludf.DUMMYFUNCTION("GOOGLETRANSLATE(E101, ""en"", ""ko"")"),"암 에르고미터, 핸드바이크, 25-30W")</f>
        <v>암 에르고미터, 핸드바이크, 25-30W</v>
      </c>
      <c r="M101" s="1"/>
      <c r="O101" s="1"/>
    </row>
    <row r="102" spans="1:15" ht="16.5" customHeight="1">
      <c r="A102" s="1">
        <v>100</v>
      </c>
      <c r="B102" s="1" t="str">
        <f ca="1">IFERROR(__xludf.DUMMYFUNCTION("GOOGLETRANSLATE(B102, ""en"", ""ko"")"),"컨디셔닝 운동")</f>
        <v>컨디셔닝 운동</v>
      </c>
      <c r="C102" s="1">
        <v>2118</v>
      </c>
      <c r="D102" s="1">
        <v>3.5</v>
      </c>
      <c r="E102" s="1" t="str">
        <f ca="1">IFERROR(__xludf.DUMMYFUNCTION("GOOGLETRANSLATE(E102, ""en"", ""ko"")"),"암 에르고미터, 핸드바이크, 45W")</f>
        <v>암 에르고미터, 핸드바이크, 45W</v>
      </c>
      <c r="M102" s="1"/>
      <c r="O102" s="1"/>
    </row>
    <row r="103" spans="1:15" ht="16.5" customHeight="1">
      <c r="A103" s="1">
        <v>101</v>
      </c>
      <c r="B103" s="1" t="str">
        <f ca="1">IFERROR(__xludf.DUMMYFUNCTION("GOOGLETRANSLATE(B103, ""en"", ""ko"")"),"컨디셔닝 운동")</f>
        <v>컨디셔닝 운동</v>
      </c>
      <c r="C103" s="1">
        <v>2119</v>
      </c>
      <c r="D103" s="1">
        <v>4.3</v>
      </c>
      <c r="E103" s="1" t="str">
        <f ca="1">IFERROR(__xludf.DUMMYFUNCTION("GOOGLETRANSLATE(E103, ""en"", ""ko"")"),"상체 운동, 고정식 자전거 - 에어다인(팔만) 40rpm, 중간 강도")</f>
        <v>상체 운동, 고정식 자전거 - 에어다인(팔만) 40rpm, 중간 강도</v>
      </c>
      <c r="M103" s="1"/>
      <c r="O103" s="1"/>
    </row>
    <row r="104" spans="1:15" ht="16.5" customHeight="1">
      <c r="A104" s="1">
        <v>102</v>
      </c>
      <c r="B104" s="1" t="str">
        <f ca="1">IFERROR(__xludf.DUMMYFUNCTION("GOOGLETRANSLATE(B104, ""en"", ""ko"")"),"컨디셔닝 운동")</f>
        <v>컨디셔닝 운동</v>
      </c>
      <c r="C104" s="1">
        <v>2120</v>
      </c>
      <c r="D104" s="1">
        <v>5.3</v>
      </c>
      <c r="E104" s="1" t="str">
        <f ca="1">IFERROR(__xludf.DUMMYFUNCTION("GOOGLETRANSLATE(E104, ""en"", ""ko"")"),"수중 에어로빅, 수중 체조, 수중 운동")</f>
        <v>수중 에어로빅, 수중 체조, 수중 운동</v>
      </c>
      <c r="M104" s="1"/>
      <c r="O104" s="1"/>
    </row>
    <row r="105" spans="1:15" ht="16.5" customHeight="1">
      <c r="A105" s="1">
        <v>103</v>
      </c>
      <c r="B105" s="1" t="str">
        <f ca="1">IFERROR(__xludf.DUMMYFUNCTION("GOOGLETRANSLATE(B105, ""en"", ""ko"")"),"컨디셔닝 운동")</f>
        <v>컨디셔닝 운동</v>
      </c>
      <c r="C105" s="1">
        <v>2135</v>
      </c>
      <c r="D105" s="1">
        <v>1.3</v>
      </c>
      <c r="E105" s="1" t="str">
        <f ca="1">IFERROR(__xludf.DUMMYFUNCTION("GOOGLETRANSLATE(E105, ""en"", ""ko"")"),"소용돌이, 앉아")</f>
        <v>소용돌이, 앉아</v>
      </c>
      <c r="M105" s="1"/>
      <c r="O105" s="1"/>
    </row>
    <row r="106" spans="1:15" ht="16.5" customHeight="1">
      <c r="A106" s="1">
        <v>104</v>
      </c>
      <c r="B106" s="1" t="str">
        <f ca="1">IFERROR(__xludf.DUMMYFUNCTION("GOOGLETRANSLATE(B106, ""en"", ""ko"")"),"컨디셔닝 운동")</f>
        <v>컨디셔닝 운동</v>
      </c>
      <c r="C106" s="1">
        <v>2140</v>
      </c>
      <c r="D106" s="1">
        <v>2.5</v>
      </c>
      <c r="E106" s="1" t="str">
        <f ca="1">IFERROR(__xludf.DUMMYFUNCTION("GOOGLETRANSLATE(E106, ""en"", ""ko"")"),"비디오, 운동 운동, TV 컨디셔닝 프로그램(예: 요가, 스트레칭, 앉아서 하는 운동), 가벼운 노력")</f>
        <v>비디오, 운동 운동, TV 컨디셔닝 프로그램(예: 요가, 스트레칭, 앉아서 하는 운동), 가벼운 노력</v>
      </c>
      <c r="M106" s="1"/>
      <c r="O106" s="1"/>
    </row>
    <row r="107" spans="1:15" ht="16.5" customHeight="1">
      <c r="A107" s="1">
        <v>105</v>
      </c>
      <c r="B107" s="1" t="str">
        <f ca="1">IFERROR(__xludf.DUMMYFUNCTION("GOOGLETRANSLATE(B107, ""en"", ""ko"")"),"컨디셔닝 운동")</f>
        <v>컨디셔닝 운동</v>
      </c>
      <c r="C107" s="1">
        <v>2143</v>
      </c>
      <c r="D107" s="1">
        <v>4</v>
      </c>
      <c r="E107" s="1" t="str">
        <f ca="1">IFERROR(__xludf.DUMMYFUNCTION("GOOGLETRANSLATE(E107, ""en"", ""ko"")"),"비디오, 운동 훈련, TV 컨디셔닝 프로그램(예: 심장 저항 훈련), 중간")</f>
        <v>비디오, 운동 훈련, TV 컨디셔닝 프로그램(예: 심장 저항 훈련), 중간</v>
      </c>
      <c r="M107" s="1"/>
      <c r="O107" s="1"/>
    </row>
    <row r="108" spans="1:15" ht="16.5" customHeight="1">
      <c r="A108" s="1">
        <v>106</v>
      </c>
      <c r="B108" s="1" t="str">
        <f ca="1">IFERROR(__xludf.DUMMYFUNCTION("GOOGLETRANSLATE(B108, ""en"", ""ko"")"),"컨디셔닝 운동")</f>
        <v>컨디셔닝 운동</v>
      </c>
      <c r="C108" s="1">
        <v>2145</v>
      </c>
      <c r="D108" s="1">
        <v>6</v>
      </c>
      <c r="E108" s="1" t="str">
        <f ca="1">IFERROR(__xludf.DUMMYFUNCTION("GOOGLETRANSLATE(E108, ""en"", ""ko"")"),"비디오, 운동 훈련, TV 컨디셔닝 프로그램(예: 심장 저항 훈련), 강렬한")</f>
        <v>비디오, 운동 훈련, TV 컨디셔닝 프로그램(예: 심장 저항 훈련), 강렬한</v>
      </c>
      <c r="M108" s="1"/>
      <c r="O108" s="1"/>
    </row>
    <row r="109" spans="1:15" ht="16.5" customHeight="1">
      <c r="A109" s="1">
        <v>107</v>
      </c>
      <c r="B109" s="1" t="str">
        <f ca="1">IFERROR(__xludf.DUMMYFUNCTION("GOOGLETRANSLATE(B109, ""en"", ""ko"")"),"컨디셔닝 운동")</f>
        <v>컨디셔닝 운동</v>
      </c>
      <c r="C109" s="1">
        <v>2150</v>
      </c>
      <c r="D109" s="1">
        <v>2.2999999999999998</v>
      </c>
      <c r="E109" s="1" t="str">
        <f ca="1">IFERROR(__xludf.DUMMYFUNCTION("GOOGLETRANSLATE(E109, ""en"", ""ko"")"),"요가, 하타")</f>
        <v>요가, 하타</v>
      </c>
      <c r="M109" s="1"/>
      <c r="O109" s="1"/>
    </row>
    <row r="110" spans="1:15" ht="16.5" customHeight="1">
      <c r="A110" s="1">
        <v>108</v>
      </c>
      <c r="B110" s="1" t="str">
        <f ca="1">IFERROR(__xludf.DUMMYFUNCTION("GOOGLETRANSLATE(B110, ""en"", ""ko"")"),"컨디셔닝 운동")</f>
        <v>컨디셔닝 운동</v>
      </c>
      <c r="C110" s="1">
        <v>2153</v>
      </c>
      <c r="D110" s="1">
        <v>8</v>
      </c>
      <c r="E110" s="1" t="str">
        <f ca="1">IFERROR(__xludf.DUMMYFUNCTION("GOOGLETRANSLATE(E110, ""en"", ""ko"")"),"요가, 하타, 고강도")</f>
        <v>요가, 하타, 고강도</v>
      </c>
      <c r="M110" s="1"/>
      <c r="O110" s="1"/>
    </row>
    <row r="111" spans="1:15" ht="16.5" customHeight="1">
      <c r="A111" s="1">
        <v>109</v>
      </c>
      <c r="B111" s="1" t="str">
        <f ca="1">IFERROR(__xludf.DUMMYFUNCTION("GOOGLETRANSLATE(B111, ""en"", ""ko"")"),"컨디셔닝 운동")</f>
        <v>컨디셔닝 운동</v>
      </c>
      <c r="C111" s="1">
        <v>2155</v>
      </c>
      <c r="D111" s="1">
        <v>3</v>
      </c>
      <c r="E111" s="1" t="str">
        <f ca="1">IFERROR(__xludf.DUMMYFUNCTION("GOOGLETRANSLATE(E111, ""en"", ""ko"")"),"요가, 핫")</f>
        <v>요가, 핫</v>
      </c>
      <c r="M111" s="1"/>
      <c r="O111" s="1"/>
    </row>
    <row r="112" spans="1:15" ht="16.5" customHeight="1">
      <c r="A112" s="1">
        <v>110</v>
      </c>
      <c r="B112" s="1" t="str">
        <f ca="1">IFERROR(__xludf.DUMMYFUNCTION("GOOGLETRANSLATE(B112, ""en"", ""ko"")"),"컨디셔닝 운동")</f>
        <v>컨디셔닝 운동</v>
      </c>
      <c r="C112" s="1">
        <v>2160</v>
      </c>
      <c r="D112" s="1">
        <v>4</v>
      </c>
      <c r="E112" s="1" t="str">
        <f ca="1">IFERROR(__xludf.DUMMYFUNCTION("GOOGLETRANSLATE(E112, ""en"", ""ko"")"),"요가, 파워")</f>
        <v>요가, 파워</v>
      </c>
      <c r="M112" s="1"/>
      <c r="O112" s="1"/>
    </row>
    <row r="113" spans="1:15" ht="16.5" customHeight="1">
      <c r="A113" s="1">
        <v>111</v>
      </c>
      <c r="B113" s="1" t="str">
        <f ca="1">IFERROR(__xludf.DUMMYFUNCTION("GOOGLETRANSLATE(B113, ""en"", ""ko"")"),"컨디셔닝 운동")</f>
        <v>컨디셔닝 운동</v>
      </c>
      <c r="C113" s="1">
        <v>2170</v>
      </c>
      <c r="D113" s="1">
        <v>2</v>
      </c>
      <c r="E113" s="1" t="str">
        <f ca="1">IFERROR(__xludf.DUMMYFUNCTION("GOOGLETRANSLATE(E113, ""en"", ""ko"")"),"요가, 나디소다나")</f>
        <v>요가, 나디소다나</v>
      </c>
      <c r="M113" s="1"/>
      <c r="O113" s="1"/>
    </row>
    <row r="114" spans="1:15" ht="16.5" customHeight="1">
      <c r="A114" s="1">
        <v>112</v>
      </c>
      <c r="B114" s="1" t="str">
        <f ca="1">IFERROR(__xludf.DUMMYFUNCTION("GOOGLETRANSLATE(B114, ""en"", ""ko"")"),"컨디셔닝 운동")</f>
        <v>컨디셔닝 운동</v>
      </c>
      <c r="C114" s="1">
        <v>2175</v>
      </c>
      <c r="D114" s="1">
        <v>2.2999999999999998</v>
      </c>
      <c r="E114" s="1" t="str">
        <f ca="1">IFERROR(__xludf.DUMMYFUNCTION("GOOGLETRANSLATE(E114, ""en"", ""ko"")"),"요가, 일반")</f>
        <v>요가, 일반</v>
      </c>
      <c r="M114" s="1"/>
      <c r="O114" s="1"/>
    </row>
    <row r="115" spans="1:15" ht="16.5" customHeight="1">
      <c r="A115" s="1">
        <v>113</v>
      </c>
      <c r="B115" s="1" t="str">
        <f ca="1">IFERROR(__xludf.DUMMYFUNCTION("GOOGLETRANSLATE(B115, ""en"", ""ko"")"),"컨디셔닝 운동")</f>
        <v>컨디셔닝 운동</v>
      </c>
      <c r="C115" s="1">
        <v>2180</v>
      </c>
      <c r="D115" s="1">
        <v>3.5</v>
      </c>
      <c r="E115" s="1" t="str">
        <f ca="1">IFERROR(__xludf.DUMMYFUNCTION("GOOGLETRANSLATE(E115, ""en"", ""ko"")"),"요가, 수리야 나마스카르")</f>
        <v>요가, 수리야 나마스카르</v>
      </c>
      <c r="M115" s="1"/>
      <c r="O115" s="1"/>
    </row>
    <row r="116" spans="1:15" ht="16.5" customHeight="1">
      <c r="A116" s="1">
        <v>114</v>
      </c>
      <c r="B116" s="1" t="str">
        <f ca="1">IFERROR(__xludf.DUMMYFUNCTION("GOOGLETRANSLATE(B116, ""en"", ""ko"")"),"컨디셔닝 운동")</f>
        <v>컨디셔닝 운동</v>
      </c>
      <c r="C116" s="1">
        <v>2185</v>
      </c>
      <c r="D116" s="1">
        <v>2.7</v>
      </c>
      <c r="E116" s="1" t="str">
        <f ca="1">IFERROR(__xludf.DUMMYFUNCTION("GOOGLETRANSLATE(E116, ""en"", ""ko"")"),"요가, 비냐사")</f>
        <v>요가, 비냐사</v>
      </c>
      <c r="M116" s="1"/>
      <c r="O116" s="1"/>
    </row>
    <row r="117" spans="1:15" ht="16.5" customHeight="1">
      <c r="A117" s="1">
        <v>115</v>
      </c>
      <c r="B117" s="1" t="str">
        <f ca="1">IFERROR(__xludf.DUMMYFUNCTION("GOOGLETRANSLATE(B117, ""en"", ""ko"")"),"컨디셔닝 운동")</f>
        <v>컨디셔닝 운동</v>
      </c>
      <c r="C117" s="1">
        <v>2200</v>
      </c>
      <c r="D117" s="1">
        <v>5.3</v>
      </c>
      <c r="E117" s="1" t="str">
        <f ca="1">IFERROR(__xludf.DUMMYFUNCTION("GOOGLETRANSLATE(E117, ""en"", ""ko"")"),"뉴질랜드 원주민 PA(예: 하카 포휘리, 포이, 모테아테아 등), 일반적으로 중간 수준의 노력")</f>
        <v>뉴질랜드 원주민 PA(예: 하카 포휘리, 포이, 모테아테아 등), 일반적으로 중간 수준의 노력</v>
      </c>
      <c r="M117" s="1"/>
      <c r="O117" s="1"/>
    </row>
    <row r="118" spans="1:15" ht="16.5" customHeight="1">
      <c r="A118" s="1">
        <v>116</v>
      </c>
      <c r="B118" s="1" t="str">
        <f ca="1">IFERROR(__xludf.DUMMYFUNCTION("GOOGLETRANSLATE(B118, ""en"", ""ko"")"),"컨디셔닝 운동")</f>
        <v>컨디셔닝 운동</v>
      </c>
      <c r="C118" s="1">
        <v>2205</v>
      </c>
      <c r="D118" s="1">
        <v>6.8</v>
      </c>
      <c r="E118" s="1" t="str">
        <f ca="1">IFERROR(__xludf.DUMMYFUNCTION("GOOGLETRANSLATE(E118, ""en"", ""ko"")"),"뉴질랜드 원주민 PA, 일반, 적극적인 노력")</f>
        <v>뉴질랜드 원주민 PA, 일반, 적극적인 노력</v>
      </c>
      <c r="M118" s="1"/>
      <c r="O118" s="1"/>
    </row>
    <row r="119" spans="1:15" ht="16.5" customHeight="1">
      <c r="A119" s="1">
        <v>117</v>
      </c>
      <c r="B119" s="1" t="str">
        <f ca="1">IFERROR(__xludf.DUMMYFUNCTION("GOOGLETRANSLATE(B119, ""en"", ""ko"")"),"컨디셔닝 운동")</f>
        <v>컨디셔닝 운동</v>
      </c>
      <c r="C119" s="1">
        <v>2210</v>
      </c>
      <c r="D119" s="1">
        <v>7</v>
      </c>
      <c r="E119" s="1" t="str">
        <f ca="1">IFERROR(__xludf.DUMMYFUNCTION("GOOGLETRANSLATE(E119, ""en"", ""ko"")"),"고강도 간헐 운동, 중간 강도")</f>
        <v>고강도 간헐 운동, 중간 강도</v>
      </c>
      <c r="M119" s="1"/>
      <c r="O119" s="1"/>
    </row>
    <row r="120" spans="1:15" ht="16.5" customHeight="1">
      <c r="A120" s="1">
        <v>118</v>
      </c>
      <c r="B120" s="1" t="str">
        <f ca="1">IFERROR(__xludf.DUMMYFUNCTION("GOOGLETRANSLATE(B120, ""en"", ""ko"")"),"컨디셔닝 운동")</f>
        <v>컨디셔닝 운동</v>
      </c>
      <c r="C120" s="1">
        <v>2214</v>
      </c>
      <c r="D120" s="1">
        <v>11</v>
      </c>
      <c r="E120" s="1" t="str">
        <f ca="1">IFERROR(__xludf.DUMMYFUNCTION("GOOGLETRANSLATE(E120, ""en"", ""ko"")"),"고강도 간헐 운동, 버피, 마운틴 클라이머, 스쿼트 점프, 타바타, 격렬한 노력")</f>
        <v>고강도 간헐 운동, 버피, 마운틴 클라이머, 스쿼트 점프, 타바타, 격렬한 노력</v>
      </c>
      <c r="M120" s="1"/>
      <c r="O120" s="1"/>
    </row>
    <row r="121" spans="1:15" ht="16.5" customHeight="1">
      <c r="A121" s="1">
        <v>119</v>
      </c>
      <c r="B121" s="1" t="str">
        <f ca="1">IFERROR(__xludf.DUMMYFUNCTION("GOOGLETRANSLATE(B121, ""en"", ""ko"")"),"컨디셔닝 운동")</f>
        <v>컨디셔닝 운동</v>
      </c>
      <c r="C121" s="1">
        <v>2225</v>
      </c>
      <c r="D121" s="1">
        <v>2.2999999999999998</v>
      </c>
      <c r="E121" s="1" t="str">
        <f ca="1">IFERROR(__xludf.DUMMYFUNCTION("GOOGLETRANSLATE(E121, ""en"", ""ko"")"),"균형 운동 보조 로봇(BEAR), 시뮬레이션 스키, 테니스, 로데오")</f>
        <v>균형 운동 보조 로봇(BEAR), 시뮬레이션 스키, 테니스, 로데오</v>
      </c>
      <c r="M121" s="1"/>
      <c r="O121" s="1"/>
    </row>
    <row r="122" spans="1:15" ht="16.5" customHeight="1">
      <c r="A122" s="1">
        <v>120</v>
      </c>
      <c r="B122" s="1" t="str">
        <f ca="1">IFERROR(__xludf.DUMMYFUNCTION("GOOGLETRANSLATE(B122, ""en"", ""ko"")"),"컨디셔닝 운동")</f>
        <v>컨디셔닝 운동</v>
      </c>
      <c r="C122" s="1">
        <v>2230</v>
      </c>
      <c r="D122" s="1">
        <v>5.8</v>
      </c>
      <c r="E122" s="1" t="str">
        <f ca="1">IFERROR(__xludf.DUMMYFUNCTION("GOOGLETRANSLATE(E122, ""en"", ""ko"")"),"후핑(이전 명칭: 훌라후핑)")</f>
        <v>후핑(이전 명칭: 훌라후핑)</v>
      </c>
      <c r="M122" s="1"/>
      <c r="O122" s="1"/>
    </row>
    <row r="123" spans="1:15" ht="16.5" customHeight="1">
      <c r="A123" s="1">
        <v>121</v>
      </c>
      <c r="B123" s="1" t="str">
        <f ca="1">IFERROR(__xludf.DUMMYFUNCTION("GOOGLETRANSLATE(B123, ""en"", ""ko"")"),"컨디셔닝 운동")</f>
        <v>컨디셔닝 운동</v>
      </c>
      <c r="C123" s="1">
        <v>2240</v>
      </c>
      <c r="D123" s="1">
        <v>9</v>
      </c>
      <c r="E123" s="1" t="str">
        <f ca="1">IFERROR(__xludf.DUMMYFUNCTION("GOOGLETRANSLATE(E123, ""en"", ""ko"")"),"임펄스 트레이닝 시스템, 관성 운동 트레이너")</f>
        <v>임펄스 트레이닝 시스템, 관성 운동 트레이너</v>
      </c>
      <c r="M123" s="1"/>
      <c r="O123" s="1"/>
    </row>
    <row r="124" spans="1:15" ht="16.5" customHeight="1">
      <c r="A124" s="1">
        <v>122</v>
      </c>
      <c r="B124" s="1" t="str">
        <f ca="1">IFERROR(__xludf.DUMMYFUNCTION("GOOGLETRANSLATE(B124, ""en"", ""ko"")"),"컨디셔닝 운동")</f>
        <v>컨디셔닝 운동</v>
      </c>
      <c r="C124" s="1">
        <v>2280</v>
      </c>
      <c r="D124" s="1">
        <v>7.9</v>
      </c>
      <c r="E124" s="1" t="str">
        <f ca="1">IFERROR(__xludf.DUMMYFUNCTION("GOOGLETRANSLATE(E124, ""en"", ""ko"")"),"가상현실 피트니스, 초자연적???쏤저속?? ?쏝옥시크린"" 강렬한 강도")</f>
        <v>가상현실 피트니스, 초자연적???쏤저속?? ?쏝옥시크린" 강렬한 강도</v>
      </c>
      <c r="M124" s="1"/>
      <c r="O124" s="1"/>
    </row>
    <row r="125" spans="1:15" ht="16.5" customHeight="1">
      <c r="A125" s="1">
        <v>123</v>
      </c>
      <c r="B125" s="1" t="str">
        <f ca="1">IFERROR(__xludf.DUMMYFUNCTION("GOOGLETRANSLATE(B125, ""en"", ""ko"")"),"컨디셔닝 운동")</f>
        <v>컨디셔닝 운동</v>
      </c>
      <c r="C125" s="1">
        <v>2284</v>
      </c>
      <c r="D125" s="1">
        <v>9.3000000000000007</v>
      </c>
      <c r="E125" s="1" t="str">
        <f ca="1">IFERROR(__xludf.DUMMYFUNCTION("GOOGLETRANSLATE(E125, ""en"", ""ko"")"),"ExerCube, 운동 시리즈")</f>
        <v>ExerCube, 운동 시리즈</v>
      </c>
      <c r="M125" s="1"/>
      <c r="O125" s="1"/>
    </row>
    <row r="126" spans="1:15" ht="16.5" customHeight="1">
      <c r="A126" s="1">
        <v>124</v>
      </c>
      <c r="B126" s="1" t="str">
        <f ca="1">IFERROR(__xludf.DUMMYFUNCTION("GOOGLETRANSLATE(B126, ""en"", ""ko"")"),"컨디셔닝 운동")</f>
        <v>컨디셔닝 운동</v>
      </c>
      <c r="C126" s="1">
        <v>2288</v>
      </c>
      <c r="D126" s="1">
        <v>13</v>
      </c>
      <c r="E126" s="1" t="str">
        <f ca="1">IFERROR(__xludf.DUMMYFUNCTION("GOOGLETRANSLATE(E126, ""en"", ""ko"")"),"블랙박스 몰입형 가상현실 엑서게이밍 시스템, 강렬한 강도")</f>
        <v>블랙박스 몰입형 가상현실 엑서게이밍 시스템, 강렬한 강도</v>
      </c>
      <c r="M126" s="1"/>
      <c r="O126" s="1"/>
    </row>
    <row r="127" spans="1:15" ht="16.5" customHeight="1">
      <c r="A127" s="1">
        <v>125</v>
      </c>
      <c r="B127" s="1" t="str">
        <f ca="1">IFERROR(__xludf.DUMMYFUNCTION("GOOGLETRANSLATE(B127, ""en"", ""ko"")"),"컨디셔닝 운동")</f>
        <v>컨디셔닝 운동</v>
      </c>
      <c r="C127" s="1">
        <v>2300</v>
      </c>
      <c r="D127" s="1">
        <v>3</v>
      </c>
      <c r="E127" s="1" t="str">
        <f ca="1">IFERROR(__xludf.DUMMYFUNCTION("GOOGLETRANSLATE(E127, ""en"", ""ko"")"),"완드 운동, 라이프-빌드-라인")</f>
        <v>완드 운동, 라이프-빌드-라인</v>
      </c>
      <c r="M127" s="1"/>
      <c r="O127" s="1"/>
    </row>
    <row r="128" spans="1:15" ht="16.5" customHeight="1">
      <c r="A128" s="1">
        <v>126</v>
      </c>
      <c r="B128" s="1" t="str">
        <f ca="1">IFERROR(__xludf.DUMMYFUNCTION("GOOGLETRANSLATE(B128, ""en"", ""ko"")"),"컨디셔닝 운동")</f>
        <v>컨디셔닝 운동</v>
      </c>
      <c r="C128" s="1">
        <v>2310</v>
      </c>
      <c r="D128" s="1">
        <v>6.5</v>
      </c>
      <c r="E128" s="1" t="str">
        <f ca="1">IFERROR(__xludf.DUMMYFUNCTION("GOOGLETRANSLATE(E128, ""en"", ""ko"")"),"줌바, 그룹 수업")</f>
        <v>줌바, 그룹 수업</v>
      </c>
      <c r="M128" s="1"/>
      <c r="O128" s="1"/>
    </row>
    <row r="129" spans="1:15" ht="16.5" customHeight="1">
      <c r="A129" s="1">
        <v>127</v>
      </c>
      <c r="B129" s="1" t="str">
        <f ca="1">IFERROR(__xludf.DUMMYFUNCTION("GOOGLETRANSLATE(B129, ""en"", ""ko"")"),"컨디셔닝 운동")</f>
        <v>컨디셔닝 운동</v>
      </c>
      <c r="C129" s="1">
        <v>2315</v>
      </c>
      <c r="D129" s="1">
        <v>5.5</v>
      </c>
      <c r="E129" s="1" t="str">
        <f ca="1">IFERROR(__xludf.DUMMYFUNCTION("GOOGLETRANSLATE(E129, ""en"", ""ko"")"),"줌바, 홈 비디오")</f>
        <v>줌바, 홈 비디오</v>
      </c>
      <c r="M129" s="1"/>
      <c r="O129" s="1"/>
    </row>
    <row r="130" spans="1:15" ht="16.5" customHeight="1">
      <c r="A130" s="1">
        <v>128</v>
      </c>
      <c r="B130" s="1" t="str">
        <f ca="1">IFERROR(__xludf.DUMMYFUNCTION("GOOGLETRANSLATE(B130, ""en"", ""ko"")"),"컨디셔닝 운동")</f>
        <v>컨디셔닝 운동</v>
      </c>
      <c r="C130" s="1">
        <v>2340</v>
      </c>
      <c r="D130" s="1">
        <v>2.8</v>
      </c>
      <c r="E130" s="1" t="str">
        <f ca="1">IFERROR(__xludf.DUMMYFUNCTION("GOOGLETRANSLATE(E130, ""en"", ""ko"")"),"앉아서 일어서기 운동, 분당 6~12회")</f>
        <v>앉아서 일어서기 운동, 분당 6~12회</v>
      </c>
      <c r="M130" s="1"/>
      <c r="O130" s="1"/>
    </row>
    <row r="131" spans="1:15" ht="16.5" customHeight="1">
      <c r="A131" s="1">
        <v>129</v>
      </c>
      <c r="B131" s="1" t="str">
        <f ca="1">IFERROR(__xludf.DUMMYFUNCTION("GOOGLETRANSLATE(B131, ""en"", ""ko"")"),"컨디셔닝 운동")</f>
        <v>컨디셔닝 운동</v>
      </c>
      <c r="C131" s="1">
        <v>2344</v>
      </c>
      <c r="D131" s="1">
        <v>4</v>
      </c>
      <c r="E131" s="1" t="str">
        <f ca="1">IFERROR(__xludf.DUMMYFUNCTION("GOOGLETRANSLATE(E131, ""en"", ""ko"")"),"앉아서 일어서기 운동, 분당 18~24회")</f>
        <v>앉아서 일어서기 운동, 분당 18~24회</v>
      </c>
      <c r="M131" s="1"/>
      <c r="O131" s="1"/>
    </row>
    <row r="132" spans="1:15" ht="16.5" customHeight="1">
      <c r="A132" s="1">
        <v>130</v>
      </c>
      <c r="B132" s="1" t="str">
        <f ca="1">IFERROR(__xludf.DUMMYFUNCTION("GOOGLETRANSLATE(B132, ""en"", ""ko"")"),"댄스")</f>
        <v>댄스</v>
      </c>
      <c r="C132" s="1">
        <v>3005</v>
      </c>
      <c r="D132" s="1">
        <v>6</v>
      </c>
      <c r="E132" s="1" t="str">
        <f ca="1">IFERROR(__xludf.DUMMYFUNCTION("GOOGLETRANSLATE(E132, ""en"", ""ko"")"),"아프로 쿠바 살사(쿠바 차차차, 맘보, 아프로 룸바, 콘트라티엠포 손 스텝, 오리샤/산토 동작)")</f>
        <v>아프로 쿠바 살사(쿠바 차차차, 맘보, 아프로 룸바, 콘트라티엠포 손 스텝, 오리샤/산토 동작)</v>
      </c>
      <c r="M132" s="1"/>
      <c r="O132" s="1"/>
    </row>
    <row r="133" spans="1:15" ht="16.5" customHeight="1">
      <c r="A133" s="1">
        <v>131</v>
      </c>
      <c r="B133" s="1" t="str">
        <f ca="1">IFERROR(__xludf.DUMMYFUNCTION("GOOGLETRANSLATE(B133, ""en"", ""ko"")"),"댄스")</f>
        <v>댄스</v>
      </c>
      <c r="C133" s="1">
        <v>3010</v>
      </c>
      <c r="D133" s="1">
        <v>5</v>
      </c>
      <c r="E133" s="1" t="str">
        <f ca="1">IFERROR(__xludf.DUMMYFUNCTION("GOOGLETRANSLATE(E133, ""en"", ""ko"")"),"발레, 모던, 재즈 일반, 리허설 또는 수업")</f>
        <v>발레, 모던, 재즈 일반, 리허설 또는 수업</v>
      </c>
      <c r="M133" s="1"/>
      <c r="O133" s="1"/>
    </row>
    <row r="134" spans="1:15" ht="16.5" customHeight="1">
      <c r="A134" s="1">
        <v>132</v>
      </c>
      <c r="B134" s="1" t="str">
        <f ca="1">IFERROR(__xludf.DUMMYFUNCTION("GOOGLETRANSLATE(B134, ""en"", ""ko"")"),"댄스")</f>
        <v>댄스</v>
      </c>
      <c r="C134" s="1">
        <v>3011</v>
      </c>
      <c r="D134" s="1">
        <v>6.3</v>
      </c>
      <c r="E134" s="1" t="str">
        <f ca="1">IFERROR(__xludf.DUMMYFUNCTION("GOOGLETRANSLATE(E134, ""en"", ""ko"")"),"발레 연습(플리에, 텐더스, 제트, 롱 드 잼브, 폰두스, 그랜드 배트망, 그랜드 격언, 소테, 템프 레베스)")</f>
        <v>발레 연습(플리에, 텐더스, 제트, 롱 드 잼브, 폰두스, 그랜드 배트망, 그랜드 격언, 소테, 템프 레베스)</v>
      </c>
      <c r="M134" s="1"/>
      <c r="O134" s="1"/>
    </row>
    <row r="135" spans="1:15" ht="16.5" customHeight="1">
      <c r="A135" s="1">
        <v>133</v>
      </c>
      <c r="B135" s="1" t="str">
        <f ca="1">IFERROR(__xludf.DUMMYFUNCTION("GOOGLETRANSLATE(B135, ""en"", ""ko"")"),"댄스")</f>
        <v>댄스</v>
      </c>
      <c r="C135" s="1">
        <v>3012</v>
      </c>
      <c r="D135" s="1">
        <v>6.8</v>
      </c>
      <c r="E135" s="1" t="str">
        <f ca="1">IFERROR(__xludf.DUMMYFUNCTION("GOOGLETRANSLATE(E135, ""en"", ""ko"")"),"발레, 모던, 재즈, 퍼포먼스, 강렬한 노력")</f>
        <v>발레, 모던, 재즈, 퍼포먼스, 강렬한 노력</v>
      </c>
      <c r="M135" s="1"/>
      <c r="O135" s="1"/>
    </row>
    <row r="136" spans="1:15" ht="16.5" customHeight="1">
      <c r="A136" s="1">
        <v>134</v>
      </c>
      <c r="B136" s="1" t="str">
        <f ca="1">IFERROR(__xludf.DUMMYFUNCTION("GOOGLETRANSLATE(B136, ""en"", ""ko"")"),"댄스")</f>
        <v>댄스</v>
      </c>
      <c r="C136" s="1">
        <v>3014</v>
      </c>
      <c r="D136" s="1">
        <v>4.8</v>
      </c>
      <c r="E136" s="1" t="str">
        <f ca="1">IFERROR(__xludf.DUMMYFUNCTION("GOOGLETRANSLATE(E136, ""en"", ""ko"")"),"수도꼭지")</f>
        <v>수도꼭지</v>
      </c>
      <c r="M136" s="1"/>
      <c r="O136" s="1"/>
    </row>
    <row r="137" spans="1:15" ht="16.5" customHeight="1">
      <c r="A137" s="1">
        <v>135</v>
      </c>
      <c r="B137" s="1" t="str">
        <f ca="1">IFERROR(__xludf.DUMMYFUNCTION("GOOGLETRANSLATE(B137, ""en"", ""ko"")"),"댄스")</f>
        <v>댄스</v>
      </c>
      <c r="C137" s="1">
        <v>3025</v>
      </c>
      <c r="D137" s="1">
        <v>4.5</v>
      </c>
      <c r="E137" s="1" t="str">
        <f ca="1">IFERROR(__xludf.DUMMYFUNCTION("GOOGLETRANSLATE(E137, ""en"", ""ko"")"),"민족 또는 문화 춤(예: 그리스, 중동, 훌라, 살사, 메렝게, 밤바, 플레나, 플라멩코, 벨리, 스윙)")</f>
        <v>민족 또는 문화 춤(예: 그리스, 중동, 훌라, 살사, 메렝게, 밤바, 플레나, 플라멩코, 벨리, 스윙)</v>
      </c>
      <c r="M137" s="1"/>
      <c r="O137" s="1"/>
    </row>
    <row r="138" spans="1:15" ht="16.5" customHeight="1">
      <c r="A138" s="1">
        <v>136</v>
      </c>
      <c r="B138" s="1" t="str">
        <f ca="1">IFERROR(__xludf.DUMMYFUNCTION("GOOGLETRANSLATE(B138, ""en"", ""ko"")"),"댄스")</f>
        <v>댄스</v>
      </c>
      <c r="C138" s="1">
        <v>3028</v>
      </c>
      <c r="D138" s="1">
        <v>5.5</v>
      </c>
      <c r="E138" s="1" t="str">
        <f ca="1">IFERROR(__xludf.DUMMYFUNCTION("GOOGLETRANSLATE(E138, ""en"", ""ko"")"),"중국 스퀘어 댄스, 발레 &amp; 티베트 댄스")</f>
        <v>중국 스퀘어 댄스, 발레 &amp; 티베트 댄스</v>
      </c>
      <c r="M138" s="1"/>
      <c r="O138" s="1"/>
    </row>
    <row r="139" spans="1:15" ht="16.5" customHeight="1">
      <c r="A139" s="1">
        <v>137</v>
      </c>
      <c r="B139" s="1" t="str">
        <f ca="1">IFERROR(__xludf.DUMMYFUNCTION("GOOGLETRANSLATE(B139, ""en"", ""ko"")"),"댄스")</f>
        <v>댄스</v>
      </c>
      <c r="C139" s="1">
        <v>3029</v>
      </c>
      <c r="D139" s="1">
        <v>7.3</v>
      </c>
      <c r="E139" s="1" t="str">
        <f ca="1">IFERROR(__xludf.DUMMYFUNCTION("GOOGLETRANSLATE(E139, ""en"", ""ko"")"),"중국 스퀘어 댄스, 에어로빅 댄스")</f>
        <v>중국 스퀘어 댄스, 에어로빅 댄스</v>
      </c>
      <c r="M139" s="1"/>
      <c r="O139" s="1"/>
    </row>
    <row r="140" spans="1:15" ht="16.5" customHeight="1">
      <c r="A140" s="1">
        <v>138</v>
      </c>
      <c r="B140" s="1" t="str">
        <f ca="1">IFERROR(__xludf.DUMMYFUNCTION("GOOGLETRANSLATE(B140, ""en"", ""ko"")"),"댄스")</f>
        <v>댄스</v>
      </c>
      <c r="C140" s="1">
        <v>3030</v>
      </c>
      <c r="D140" s="1">
        <v>5.5</v>
      </c>
      <c r="E140" s="1" t="str">
        <f ca="1">IFERROR(__xludf.DUMMYFUNCTION("GOOGLETRANSLATE(E140, ""en"", ""ko"")"),"볼룸댄스, 빠른)")</f>
        <v>볼룸댄스, 빠른)</v>
      </c>
      <c r="M140" s="1"/>
      <c r="O140" s="1"/>
    </row>
    <row r="141" spans="1:15" ht="16.5" customHeight="1">
      <c r="A141" s="1">
        <v>139</v>
      </c>
      <c r="B141" s="1" t="str">
        <f ca="1">IFERROR(__xludf.DUMMYFUNCTION("GOOGLETRANSLATE(B141, ""en"", ""ko"")"),"댄스")</f>
        <v>댄스</v>
      </c>
      <c r="C141" s="1">
        <v>3031</v>
      </c>
      <c r="D141" s="1">
        <v>9.8000000000000007</v>
      </c>
      <c r="E141" s="1" t="str">
        <f ca="1">IFERROR(__xludf.DUMMYFUNCTION("GOOGLETRANSLATE(E141, ""en"", ""ko"")"),"나이트클럽이나 포크댄스, 강렬한 노력(예: 나이트클럽, 디스코, 포크, 라인댄스, 아이리시 스텝댄스, 폴카, 콘트라)")</f>
        <v>나이트클럽이나 포크댄스, 강렬한 노력(예: 나이트클럽, 디스코, 포크, 라인댄스, 아이리시 스텝댄스, 폴카, 콘트라)</v>
      </c>
      <c r="M141" s="1"/>
      <c r="O141" s="1"/>
    </row>
    <row r="142" spans="1:15" ht="16.5" customHeight="1">
      <c r="A142" s="1">
        <v>140</v>
      </c>
      <c r="B142" s="1" t="str">
        <f ca="1">IFERROR(__xludf.DUMMYFUNCTION("GOOGLETRANSLATE(B142, ""en"", ""ko"")"),"댄스")</f>
        <v>댄스</v>
      </c>
      <c r="C142" s="1">
        <v>3033</v>
      </c>
      <c r="D142" s="1">
        <v>5</v>
      </c>
      <c r="E142" s="1" t="str">
        <f ca="1">IFERROR(__xludf.DUMMYFUNCTION("GOOGLETRANSLATE(E142, ""en"", ""ko"")"),"포크댄스, 중간 강도")</f>
        <v>포크댄스, 중간 강도</v>
      </c>
      <c r="M142" s="1"/>
      <c r="O142" s="1"/>
    </row>
    <row r="143" spans="1:15" ht="16.5" customHeight="1">
      <c r="A143" s="1">
        <v>141</v>
      </c>
      <c r="B143" s="1" t="str">
        <f ca="1">IFERROR(__xludf.DUMMYFUNCTION("GOOGLETRANSLATE(B143, ""en"", ""ko"")"),"댄스")</f>
        <v>댄스</v>
      </c>
      <c r="C143" s="1">
        <v>3038</v>
      </c>
      <c r="D143" s="1">
        <v>11.3</v>
      </c>
      <c r="E143" s="1" t="str">
        <f ca="1">IFERROR(__xludf.DUMMYFUNCTION("GOOGLETRANSLATE(E143, ""en"", ""ko"")"),"볼룸댄스, 경쟁, 일반")</f>
        <v>볼룸댄스, 경쟁, 일반</v>
      </c>
      <c r="M143" s="1"/>
      <c r="O143" s="1"/>
    </row>
    <row r="144" spans="1:15" ht="16.5" customHeight="1">
      <c r="A144" s="1">
        <v>142</v>
      </c>
      <c r="B144" s="1" t="str">
        <f ca="1">IFERROR(__xludf.DUMMYFUNCTION("GOOGLETRANSLATE(B144, ""en"", ""ko"")"),"댄스")</f>
        <v>댄스</v>
      </c>
      <c r="C144" s="1">
        <v>3039</v>
      </c>
      <c r="D144" s="1">
        <v>13</v>
      </c>
      <c r="E144" s="1" t="str">
        <f ca="1">IFERROR(__xludf.DUMMYFUNCTION("GOOGLETRANSLATE(E144, ""en"", ""ko"")"),"볼룸댄스, 댄스스포츠 경기(모던왈츠, 탱고, 비엔나왈츠, 슬로폭스, 퀵스텝, 삼바, 차차, 룸바,")</f>
        <v>볼룸댄스, 댄스스포츠 경기(모던왈츠, 탱고, 비엔나왈츠, 슬로폭스, 퀵스텝, 삼바, 차차, 룸바,</v>
      </c>
      <c r="M144" s="1"/>
      <c r="O144" s="1"/>
    </row>
    <row r="145" spans="1:15" ht="16.5" customHeight="1">
      <c r="A145" s="1">
        <v>143</v>
      </c>
      <c r="B145" s="1" t="str">
        <f ca="1">IFERROR(__xludf.DUMMYFUNCTION("GOOGLETRANSLATE(B145, ""en"", ""ko"")"),"댄스")</f>
        <v>댄스</v>
      </c>
      <c r="C145" s="1">
        <v>3039</v>
      </c>
      <c r="D145" s="1">
        <v>13</v>
      </c>
      <c r="E145" s="1" t="str">
        <f ca="1">IFERROR(__xludf.DUMMYFUNCTION("GOOGLETRANSLATE(E145, ""en"", ""ko"")"),"볼룸댄스, 댄스스포츠 경기(모던왈츠, 탱고, 비엔나왈츠, 슬로우폭스, 퀵스텝, 삼바, 차차, 룸바, 파소도블레, 자이브)")</f>
        <v>볼룸댄스, 댄스스포츠 경기(모던왈츠, 탱고, 비엔나왈츠, 슬로우폭스, 퀵스텝, 삼바, 차차, 룸바, 파소도블레, 자이브)</v>
      </c>
      <c r="M145" s="1"/>
      <c r="O145" s="1"/>
    </row>
    <row r="146" spans="1:15" ht="16.5" customHeight="1">
      <c r="A146" s="1">
        <v>144</v>
      </c>
      <c r="B146" s="1" t="str">
        <f ca="1">IFERROR(__xludf.DUMMYFUNCTION("GOOGLETRANSLATE(B146, ""en"", ""ko"")"),"댄스")</f>
        <v>댄스</v>
      </c>
      <c r="C146" s="1">
        <v>3040</v>
      </c>
      <c r="D146" s="1">
        <v>3</v>
      </c>
      <c r="E146" s="1" t="str">
        <f ca="1">IFERROR(__xludf.DUMMYFUNCTION("GOOGLETRANSLATE(E146, ""en"", ""ko"")"),"볼룸댄스, 슬로우댄스, 예: 왈츠, 폭스트롯, 슬로우댄스, 삼바탱고, 룸바, 19세기 댄스, 맘보, 차차")</f>
        <v>볼룸댄스, 슬로우댄스, 예: 왈츠, 폭스트롯, 슬로우댄스, 삼바탱고, 룸바, 19세기 댄스, 맘보, 차차</v>
      </c>
      <c r="M146" s="1"/>
      <c r="O146" s="1"/>
    </row>
    <row r="147" spans="1:15" ht="16.5" customHeight="1">
      <c r="A147" s="1">
        <v>145</v>
      </c>
      <c r="B147" s="1" t="str">
        <f ca="1">IFERROR(__xludf.DUMMYFUNCTION("GOOGLETRANSLATE(B147, ""en"", ""ko"")"),"댄스")</f>
        <v>댄스</v>
      </c>
      <c r="C147" s="1">
        <v>3042</v>
      </c>
      <c r="D147" s="1">
        <v>6</v>
      </c>
      <c r="E147" s="1" t="str">
        <f ca="1">IFERROR(__xludf.DUMMYFUNCTION("GOOGLETRANSLATE(E147, ""en"", ""ko"")"),"볼룸댄스, 레크리에이션댄스(왈츠, 폭스트롯, 차차, 스윙)")</f>
        <v>볼룸댄스, 레크리에이션댄스(왈츠, 폭스트롯, 차차, 스윙)</v>
      </c>
      <c r="M147" s="1"/>
      <c r="O147" s="1"/>
    </row>
    <row r="148" spans="1:15" ht="16.5" customHeight="1">
      <c r="A148" s="1">
        <v>146</v>
      </c>
      <c r="B148" s="1" t="str">
        <f ca="1">IFERROR(__xludf.DUMMYFUNCTION("GOOGLETRANSLATE(B148, ""en"", ""ko"")"),"댄스")</f>
        <v>댄스</v>
      </c>
      <c r="C148" s="1">
        <v>3050</v>
      </c>
      <c r="D148" s="1">
        <v>5.5</v>
      </c>
      <c r="E148" s="1" t="str">
        <f ca="1">IFERROR(__xludf.DUMMYFUNCTION("GOOGLETRANSLATE(E148, ""en"", ""ko"")"),"아니시나베 징글 댄싱, 빠른 속도, 여성이 추는 기타 전통 아메리카 인디언 춤, 중간 강도")</f>
        <v>아니시나베 징글 댄싱, 빠른 속도, 여성이 추는 기타 전통 아메리카 인디언 춤, 중간 강도</v>
      </c>
      <c r="M148" s="1"/>
      <c r="O148" s="1"/>
    </row>
    <row r="149" spans="1:15" ht="16.5" customHeight="1">
      <c r="A149" s="1">
        <v>147</v>
      </c>
      <c r="B149" s="1" t="str">
        <f ca="1">IFERROR(__xludf.DUMMYFUNCTION("GOOGLETRANSLATE(B149, ""en"", ""ko"")"),"댄스")</f>
        <v>댄스</v>
      </c>
      <c r="C149" s="1">
        <v>3060</v>
      </c>
      <c r="D149" s="1">
        <v>3.5</v>
      </c>
      <c r="E149" s="1" t="str">
        <f ca="1">IFERROR(__xludf.DUMMYFUNCTION("GOOGLETRANSLATE(E149, ""en"", ""ko"")"),"캐리비안 댄스(아바쿠아, 베긴, 벨에어, 봉고, 브루킨셲, 캐리비안 쿼드릴스, 딘키 미니, 기어, 검베이, 이보, 존코누,")</f>
        <v>캐리비안 댄스(아바쿠아, 베긴, 벨에어, 봉고, 브루킨셲, 캐리비안 쿼드릴스, 딘키 미니, 기어, 검베이, 이보, 존코누,</v>
      </c>
      <c r="M149" s="1"/>
      <c r="O149" s="1"/>
    </row>
    <row r="150" spans="1:15" ht="16.5" customHeight="1">
      <c r="A150" s="1">
        <v>148</v>
      </c>
      <c r="B150" s="1" t="str">
        <f ca="1">IFERROR(__xludf.DUMMYFUNCTION("GOOGLETRANSLATE(B150, ""en"", ""ko"")"),"댄스")</f>
        <v>댄스</v>
      </c>
      <c r="C150" s="1">
        <v>3060</v>
      </c>
      <c r="D150" s="1">
        <v>3.5</v>
      </c>
      <c r="E150" s="1" t="str">
        <f ca="1">IFERROR(__xludf.DUMMYFUNCTION("GOOGLETRANSLATE(E150, ""en"", ""ko"")"),"캐리비안 댄스(아바쿠아, 베긴, 벨레어, 봉고, 브루킨셲, 캐리비안 쿼드릴스, 딘키 미니, 기어, 검베이, 이보, 욘콘누, 쿠미나, 오레이샤, 잠부)")</f>
        <v>캐리비안 댄스(아바쿠아, 베긴, 벨레어, 봉고, 브루킨셲, 캐리비안 쿼드릴스, 딘키 미니, 기어, 검베이, 이보, 욘콘누, 쿠미나, 오레이샤, 잠부)</v>
      </c>
      <c r="M150" s="1"/>
      <c r="O150" s="1"/>
    </row>
    <row r="151" spans="1:15" ht="16.5" customHeight="1">
      <c r="A151" s="1">
        <v>149</v>
      </c>
      <c r="B151" s="1" t="str">
        <f ca="1">IFERROR(__xludf.DUMMYFUNCTION("GOOGLETRANSLATE(B151, ""en"", ""ko"")"),"댄스")</f>
        <v>댄스</v>
      </c>
      <c r="C151" s="1">
        <v>3070</v>
      </c>
      <c r="D151" s="1">
        <v>3.8</v>
      </c>
      <c r="E151" s="1" t="str">
        <f ca="1">IFERROR(__xludf.DUMMYFUNCTION("GOOGLETRANSLATE(E151, ""en"", ""ko"")"),"현대무용, 일반")</f>
        <v>현대무용, 일반</v>
      </c>
      <c r="M151" s="1"/>
      <c r="O151" s="1"/>
    </row>
    <row r="152" spans="1:15" ht="16.5" customHeight="1">
      <c r="A152" s="1">
        <v>150</v>
      </c>
      <c r="B152" s="1" t="str">
        <f ca="1">IFERROR(__xludf.DUMMYFUNCTION("GOOGLETRANSLATE(B152, ""en"", ""ko"")"),"댄스")</f>
        <v>댄스</v>
      </c>
      <c r="C152" s="1">
        <v>3072</v>
      </c>
      <c r="D152" s="1">
        <v>4.3</v>
      </c>
      <c r="E152" s="1" t="str">
        <f ca="1">IFERROR(__xludf.DUMMYFUNCTION("GOOGLETRANSLATE(E152, ""en"", ""ko"")"),"현대 무용, 나이트클럽")</f>
        <v>현대 무용, 나이트클럽</v>
      </c>
      <c r="M152" s="1"/>
      <c r="O152" s="1"/>
    </row>
    <row r="153" spans="1:15" ht="16.5" customHeight="1">
      <c r="A153" s="1">
        <v>151</v>
      </c>
      <c r="B153" s="1" t="str">
        <f ca="1">IFERROR(__xludf.DUMMYFUNCTION("GOOGLETRANSLATE(B153, ""en"", ""ko"")"),"댄스")</f>
        <v>댄스</v>
      </c>
      <c r="C153" s="1">
        <v>3075</v>
      </c>
      <c r="D153" s="1">
        <v>8.5</v>
      </c>
      <c r="E153" s="1" t="str">
        <f ca="1">IFERROR(__xludf.DUMMYFUNCTION("GOOGLETRANSLATE(E153, ""en"", ""ko"")"),"플라멩코 댄스")</f>
        <v>플라멩코 댄스</v>
      </c>
      <c r="M153" s="1"/>
      <c r="O153" s="1"/>
    </row>
    <row r="154" spans="1:15" ht="16.5" customHeight="1">
      <c r="A154" s="1">
        <v>152</v>
      </c>
      <c r="B154" s="1" t="str">
        <f ca="1">IFERROR(__xludf.DUMMYFUNCTION("GOOGLETRANSLATE(B154, ""en"", ""ko"")"),"댄스")</f>
        <v>댄스</v>
      </c>
      <c r="C154" s="1">
        <v>3078</v>
      </c>
      <c r="D154" s="1">
        <v>4.5</v>
      </c>
      <c r="E154" s="1" t="str">
        <f ca="1">IFERROR(__xludf.DUMMYFUNCTION("GOOGLETRANSLATE(E154, ""en"", ""ko"")"),"재즈댄스, 일반")</f>
        <v>재즈댄스, 일반</v>
      </c>
      <c r="M154" s="1"/>
      <c r="O154" s="1"/>
    </row>
    <row r="155" spans="1:15" ht="16.5" customHeight="1">
      <c r="A155" s="1">
        <v>153</v>
      </c>
      <c r="B155" s="1" t="str">
        <f ca="1">IFERROR(__xludf.DUMMYFUNCTION("GOOGLETRANSLATE(B155, ""en"", ""ko"")"),"댄스")</f>
        <v>댄스</v>
      </c>
      <c r="C155" s="1">
        <v>3080</v>
      </c>
      <c r="D155" s="1">
        <v>10.3</v>
      </c>
      <c r="E155" s="1" t="str">
        <f ca="1">IFERROR(__xludf.DUMMYFUNCTION("GOOGLETRANSLATE(E155, ""en"", ""ko"")"),"뮤지컬, 노래/춤")</f>
        <v>뮤지컬, 노래/춤</v>
      </c>
      <c r="M155" s="1"/>
      <c r="O155" s="1"/>
    </row>
    <row r="156" spans="1:15" ht="16.5" customHeight="1">
      <c r="A156" s="1">
        <v>154</v>
      </c>
      <c r="B156" s="1" t="str">
        <f ca="1">IFERROR(__xludf.DUMMYFUNCTION("GOOGLETRANSLATE(B156, ""en"", ""ko"")"),"댄스")</f>
        <v>댄스</v>
      </c>
      <c r="C156" s="1">
        <v>3085</v>
      </c>
      <c r="D156" s="1">
        <v>5.8</v>
      </c>
      <c r="E156" s="1" t="str">
        <f ca="1">IFERROR(__xludf.DUMMYFUNCTION("GOOGLETRANSLATE(E156, ""en"", ""ko"")"),"폴리네시아 댄스, 하와이 훌라 슬로우, 마오리 하카, 통가")</f>
        <v>폴리네시아 댄스, 하와이 훌라 슬로우, 마오리 하카, 통가</v>
      </c>
      <c r="M156" s="1"/>
      <c r="O156" s="1"/>
    </row>
    <row r="157" spans="1:15" ht="16.5" customHeight="1">
      <c r="A157" s="1">
        <v>155</v>
      </c>
      <c r="B157" s="1" t="str">
        <f ca="1">IFERROR(__xludf.DUMMYFUNCTION("GOOGLETRANSLATE(B157, ""en"", ""ko"")"),"댄스")</f>
        <v>댄스</v>
      </c>
      <c r="C157" s="1">
        <v>3086</v>
      </c>
      <c r="D157" s="1">
        <v>7</v>
      </c>
      <c r="E157" s="1" t="str">
        <f ca="1">IFERROR(__xludf.DUMMYFUNCTION("GOOGLETRANSLATE(E157, ""en"", ""ko"")"),"폴리네시안 댄스, 하와이 훌라 패스트, 사모아 사사, 피지 스타일 패스트, 필리핀 티니클링")</f>
        <v>폴리네시안 댄스, 하와이 훌라 패스트, 사모아 사사, 피지 스타일 패스트, 필리핀 티니클링</v>
      </c>
      <c r="M157" s="1"/>
      <c r="O157" s="1"/>
    </row>
    <row r="158" spans="1:15" ht="16.5" customHeight="1">
      <c r="A158" s="1">
        <v>156</v>
      </c>
      <c r="B158" s="1" t="str">
        <f ca="1">IFERROR(__xludf.DUMMYFUNCTION("GOOGLETRANSLATE(B158, ""en"", ""ko"")"),"댄스")</f>
        <v>댄스</v>
      </c>
      <c r="C158" s="1">
        <v>3087</v>
      </c>
      <c r="D158" s="1">
        <v>8.8000000000000007</v>
      </c>
      <c r="E158" s="1" t="str">
        <f ca="1">IFERROR(__xludf.DUMMYFUNCTION("GOOGLETRANSLATE(E158, ""en"", ""ko"")"),"폴리네시아 댄스, 사모아 슬랩, 타히티")</f>
        <v>폴리네시아 댄스, 사모아 슬랩, 타히티</v>
      </c>
      <c r="M158" s="1"/>
      <c r="O158" s="1"/>
    </row>
    <row r="159" spans="1:15" ht="16.5" customHeight="1">
      <c r="A159" s="1">
        <v>157</v>
      </c>
      <c r="B159" s="1" t="str">
        <f ca="1">IFERROR(__xludf.DUMMYFUNCTION("GOOGLETRANSLATE(B159, ""en"", ""ko"")"),"댄스")</f>
        <v>댄스</v>
      </c>
      <c r="C159" s="1">
        <v>3090</v>
      </c>
      <c r="D159" s="1">
        <v>4.8</v>
      </c>
      <c r="E159" s="1" t="str">
        <f ca="1">IFERROR(__xludf.DUMMYFUNCTION("GOOGLETRANSLATE(E159, ""en"", ""ko"")"),"파트너와 함께하는 살사 댄싱")</f>
        <v>파트너와 함께하는 살사 댄싱</v>
      </c>
      <c r="M159" s="1"/>
      <c r="O159" s="1"/>
    </row>
    <row r="160" spans="1:15" ht="16.5" customHeight="1">
      <c r="A160" s="1">
        <v>158</v>
      </c>
      <c r="B160" s="1" t="str">
        <f ca="1">IFERROR(__xludf.DUMMYFUNCTION("GOOGLETRANSLATE(B160, ""en"", ""ko"")"),"댄스")</f>
        <v>댄스</v>
      </c>
      <c r="C160" s="1">
        <v>3091</v>
      </c>
      <c r="D160" s="1">
        <v>6.3</v>
      </c>
      <c r="E160" s="1" t="str">
        <f ca="1">IFERROR(__xludf.DUMMYFUNCTION("GOOGLETRANSLATE(E160, ""en"", ""ko"")"),"살사 댄스, 영상으로 보기")</f>
        <v>살사 댄스, 영상으로 보기</v>
      </c>
      <c r="M160" s="1"/>
      <c r="O160" s="1"/>
    </row>
    <row r="161" spans="1:15" ht="16.5" customHeight="1">
      <c r="A161" s="1">
        <v>159</v>
      </c>
      <c r="B161" s="1" t="str">
        <f ca="1">IFERROR(__xludf.DUMMYFUNCTION("GOOGLETRANSLATE(B161, ""en"", ""ko"")"),"댄스")</f>
        <v>댄스</v>
      </c>
      <c r="C161" s="1">
        <v>3093</v>
      </c>
      <c r="D161" s="1">
        <v>5.5</v>
      </c>
      <c r="E161" s="1" t="str">
        <f ca="1">IFERROR(__xludf.DUMMYFUNCTION("GOOGLETRANSLATE(E161, ""en"", ""ko"")"),"스퀘어 댄싱, 아메리칸 웨스턴, 컨트리")</f>
        <v>스퀘어 댄싱, 아메리칸 웨스턴, 컨트리</v>
      </c>
      <c r="M161" s="1"/>
      <c r="O161" s="1"/>
    </row>
    <row r="162" spans="1:15" ht="16.5" customHeight="1">
      <c r="A162" s="1">
        <v>160</v>
      </c>
      <c r="B162" s="1" t="str">
        <f ca="1">IFERROR(__xludf.DUMMYFUNCTION("GOOGLETRANSLATE(B162, ""en"", ""ko"")"),"낚시 및 사냥")</f>
        <v>낚시 및 사냥</v>
      </c>
      <c r="C162" s="1">
        <v>4001</v>
      </c>
      <c r="D162" s="1">
        <v>3.5</v>
      </c>
      <c r="E162" s="1" t="str">
        <f ca="1">IFERROR(__xludf.DUMMYFUNCTION("GOOGLETRANSLATE(E162, ""en"", ""ko"")"),"낚시, 일반")</f>
        <v>낚시, 일반</v>
      </c>
      <c r="M162" s="1"/>
      <c r="O162" s="1"/>
    </row>
    <row r="163" spans="1:15" ht="16.5" customHeight="1">
      <c r="A163" s="1">
        <v>161</v>
      </c>
      <c r="B163" s="1" t="str">
        <f ca="1">IFERROR(__xludf.DUMMYFUNCTION("GOOGLETRANSLATE(B163, ""en"", ""ko"")"),"낚시 및 사냥")</f>
        <v>낚시 및 사냥</v>
      </c>
      <c r="C163" s="1">
        <v>4005</v>
      </c>
      <c r="D163" s="1">
        <v>4.5</v>
      </c>
      <c r="E163" s="1" t="str">
        <f ca="1">IFERROR(__xludf.DUMMYFUNCTION("GOOGLETRANSLATE(E163, ""en"", ""ko"")"),"낚시, 게 낚시")</f>
        <v>낚시, 게 낚시</v>
      </c>
      <c r="M163" s="1"/>
      <c r="O163" s="1"/>
    </row>
    <row r="164" spans="1:15" ht="16.5" customHeight="1">
      <c r="A164" s="1">
        <v>162</v>
      </c>
      <c r="B164" s="1" t="str">
        <f ca="1">IFERROR(__xludf.DUMMYFUNCTION("GOOGLETRANSLATE(B164, ""en"", ""ko"")"),"낚시 및 사냥")</f>
        <v>낚시 및 사냥</v>
      </c>
      <c r="C164" s="1">
        <v>4007</v>
      </c>
      <c r="D164" s="1">
        <v>4</v>
      </c>
      <c r="E164" s="1" t="str">
        <f ca="1">IFERROR(__xludf.DUMMYFUNCTION("GOOGLETRANSLATE(E164, ""en"", ""ko"")"),"낚시, 손으로 물고기 잡기")</f>
        <v>낚시, 손으로 물고기 잡기</v>
      </c>
      <c r="M164" s="1"/>
      <c r="O164" s="1"/>
    </row>
    <row r="165" spans="1:15" ht="16.5" customHeight="1">
      <c r="A165" s="1">
        <v>163</v>
      </c>
      <c r="B165" s="1" t="str">
        <f ca="1">IFERROR(__xludf.DUMMYFUNCTION("GOOGLETRANSLATE(B165, ""en"", ""ko"")"),"낚시 및 사냥")</f>
        <v>낚시 및 사냥</v>
      </c>
      <c r="C165" s="1">
        <v>4010</v>
      </c>
      <c r="D165" s="1">
        <v>4.3</v>
      </c>
      <c r="E165" s="1" t="str">
        <f ca="1">IFERROR(__xludf.DUMMYFUNCTION("GOOGLETRANSLATE(E165, ""en"", ""ko"")"),"낚시 관련, 벌레 파기, 삽 사용")</f>
        <v>낚시 관련, 벌레 파기, 삽 사용</v>
      </c>
      <c r="M165" s="1"/>
      <c r="O165" s="1"/>
    </row>
    <row r="166" spans="1:15" ht="16.5" customHeight="1">
      <c r="A166" s="1">
        <v>164</v>
      </c>
      <c r="B166" s="1" t="str">
        <f ca="1">IFERROR(__xludf.DUMMYFUNCTION("GOOGLETRANSLATE(B166, ""en"", ""ko"")"),"낚시 및 사냥")</f>
        <v>낚시 및 사냥</v>
      </c>
      <c r="C166" s="1">
        <v>4020</v>
      </c>
      <c r="D166" s="1">
        <v>4</v>
      </c>
      <c r="E166" s="1" t="str">
        <f ca="1">IFERROR(__xludf.DUMMYFUNCTION("GOOGLETRANSLATE(E166, ""en"", ""ko"")"),"강둑에서 낚시하고 산책하기")</f>
        <v>강둑에서 낚시하고 산책하기</v>
      </c>
      <c r="M166" s="1"/>
      <c r="O166" s="1"/>
    </row>
    <row r="167" spans="1:15" ht="16.5" customHeight="1">
      <c r="A167" s="1">
        <v>165</v>
      </c>
      <c r="B167" s="1" t="str">
        <f ca="1">IFERROR(__xludf.DUMMYFUNCTION("GOOGLETRANSLATE(B167, ""en"", ""ko"")"),"낚시 및 사냥")</f>
        <v>낚시 및 사냥</v>
      </c>
      <c r="C167" s="1">
        <v>4030</v>
      </c>
      <c r="D167" s="1">
        <v>2</v>
      </c>
      <c r="E167" s="1" t="str">
        <f ca="1">IFERROR(__xludf.DUMMYFUNCTION("GOOGLETRANSLATE(E167, ""en"", ""ko"")"),"보트나 카누에서 앉아서 낚시하기")</f>
        <v>보트나 카누에서 앉아서 낚시하기</v>
      </c>
      <c r="M167" s="1"/>
      <c r="O167" s="1"/>
    </row>
    <row r="168" spans="1:15" ht="16.5" customHeight="1">
      <c r="A168" s="1">
        <v>166</v>
      </c>
      <c r="B168" s="1" t="str">
        <f ca="1">IFERROR(__xludf.DUMMYFUNCTION("GOOGLETRANSLATE(B168, ""en"", ""ko"")"),"낚시 및 사냥")</f>
        <v>낚시 및 사냥</v>
      </c>
      <c r="C168" s="1">
        <v>4040</v>
      </c>
      <c r="D168" s="1">
        <v>3.5</v>
      </c>
      <c r="E168" s="1" t="str">
        <f ca="1">IFERROR(__xludf.DUMMYFUNCTION("GOOGLETRANSLATE(E168, ""en"", ""ko"")"),"강둑에서 서서 낚시하기")</f>
        <v>강둑에서 서서 낚시하기</v>
      </c>
      <c r="M168" s="1"/>
      <c r="O168" s="1"/>
    </row>
    <row r="169" spans="1:15" ht="16.5" customHeight="1">
      <c r="A169" s="1">
        <v>167</v>
      </c>
      <c r="B169" s="1" t="str">
        <f ca="1">IFERROR(__xludf.DUMMYFUNCTION("GOOGLETRANSLATE(B169, ""en"", ""ko"")"),"낚시 및 사냥")</f>
        <v>낚시 및 사냥</v>
      </c>
      <c r="C169" s="1">
        <v>4050</v>
      </c>
      <c r="D169" s="1">
        <v>6</v>
      </c>
      <c r="E169" s="1" t="str">
        <f ca="1">IFERROR(__xludf.DUMMYFUNCTION("GOOGLETRANSLATE(E169, ""en"", ""ko"")"),"개울에서 낚시, 웨이더 착용")</f>
        <v>개울에서 낚시, 웨이더 착용</v>
      </c>
      <c r="M169" s="1"/>
      <c r="O169" s="1"/>
    </row>
    <row r="170" spans="1:15" ht="16.5" customHeight="1">
      <c r="A170" s="1">
        <v>168</v>
      </c>
      <c r="B170" s="1" t="str">
        <f ca="1">IFERROR(__xludf.DUMMYFUNCTION("GOOGLETRANSLATE(B170, ""en"", ""ko"")"),"낚시 및 사냥")</f>
        <v>낚시 및 사냥</v>
      </c>
      <c r="C170" s="1">
        <v>4060</v>
      </c>
      <c r="D170" s="1">
        <v>2</v>
      </c>
      <c r="E170" s="1" t="str">
        <f ca="1">IFERROR(__xludf.DUMMYFUNCTION("GOOGLETRANSLATE(E170, ""en"", ""ko"")"),"낚시, 얼음, 앉아")</f>
        <v>낚시, 얼음, 앉아</v>
      </c>
      <c r="M170" s="1"/>
      <c r="O170" s="1"/>
    </row>
    <row r="171" spans="1:15" ht="16.5" customHeight="1">
      <c r="A171" s="1">
        <v>169</v>
      </c>
      <c r="B171" s="1" t="str">
        <f ca="1">IFERROR(__xludf.DUMMYFUNCTION("GOOGLETRANSLATE(B171, ""en"", ""ko"")"),"낚시 및 사냥")</f>
        <v>낚시 및 사냥</v>
      </c>
      <c r="C171" s="1">
        <v>4061</v>
      </c>
      <c r="D171" s="1">
        <v>1.8</v>
      </c>
      <c r="E171" s="1" t="str">
        <f ca="1">IFERROR(__xludf.DUMMYFUNCTION("GOOGLETRANSLATE(E171, ""en"", ""ko"")"),"낚시, 지그 또는 낚싯줄, 스탠딩, 일반")</f>
        <v>낚시, 지그 또는 낚싯줄, 스탠딩, 일반</v>
      </c>
      <c r="M171" s="1"/>
      <c r="O171" s="1"/>
    </row>
    <row r="172" spans="1:15" ht="16.5" customHeight="1">
      <c r="A172" s="1">
        <v>170</v>
      </c>
      <c r="B172" s="1" t="str">
        <f ca="1">IFERROR(__xludf.DUMMYFUNCTION("GOOGLETRANSLATE(B172, ""en"", ""ko"")"),"낚시 및 사냥")</f>
        <v>낚시 및 사냥</v>
      </c>
      <c r="C172" s="1">
        <v>4062</v>
      </c>
      <c r="D172" s="1">
        <v>3.5</v>
      </c>
      <c r="E172" s="1" t="str">
        <f ca="1">IFERROR(__xludf.DUMMYFUNCTION("GOOGLETRANSLATE(E172, ""en"", ""ko"")"),"낚시, 딥그물, 그물 설치 및 물고기 회수, 일반")</f>
        <v>낚시, 딥그물, 그물 설치 및 물고기 회수, 일반</v>
      </c>
      <c r="M172" s="1"/>
      <c r="O172" s="1"/>
    </row>
    <row r="173" spans="1:15" ht="16.5" customHeight="1">
      <c r="A173" s="1">
        <v>171</v>
      </c>
      <c r="B173" s="1" t="str">
        <f ca="1">IFERROR(__xludf.DUMMYFUNCTION("GOOGLETRANSLATE(B173, ""en"", ""ko"")"),"낚시 및 사냥")</f>
        <v>낚시 및 사냥</v>
      </c>
      <c r="C173" s="1">
        <v>4063</v>
      </c>
      <c r="D173" s="1">
        <v>3.8</v>
      </c>
      <c r="E173" s="1" t="str">
        <f ca="1">IFERROR(__xludf.DUMMYFUNCTION("GOOGLETRANSLATE(E173, ""en"", ""ko"")"),"낚시, 그물 설치, 그물 설치 및 물고기 회수, 일반")</f>
        <v>낚시, 그물 설치, 그물 설치 및 물고기 회수, 일반</v>
      </c>
      <c r="M173" s="1"/>
      <c r="O173" s="1"/>
    </row>
    <row r="174" spans="1:15" ht="16.5" customHeight="1">
      <c r="A174" s="1">
        <v>172</v>
      </c>
      <c r="B174" s="1" t="str">
        <f ca="1">IFERROR(__xludf.DUMMYFUNCTION("GOOGLETRANSLATE(B174, ""en"", ""ko"")"),"낚시 및 사냥")</f>
        <v>낚시 및 사냥</v>
      </c>
      <c r="C174" s="1">
        <v>4064</v>
      </c>
      <c r="D174" s="1">
        <v>3</v>
      </c>
      <c r="E174" s="1" t="str">
        <f ca="1">IFERROR(__xludf.DUMMYFUNCTION("GOOGLETRANSLATE(E174, ""en"", ""ko"")"),"낚시, 낚싯대, 그물 치기 및 물고기 가져오기, 일반")</f>
        <v>낚시, 낚싯대, 그물 치기 및 물고기 가져오기, 일반</v>
      </c>
      <c r="M174" s="1"/>
      <c r="O174" s="1"/>
    </row>
    <row r="175" spans="1:15" ht="16.5" customHeight="1">
      <c r="A175" s="1">
        <v>173</v>
      </c>
      <c r="B175" s="1" t="str">
        <f ca="1">IFERROR(__xludf.DUMMYFUNCTION("GOOGLETRANSLATE(B175, ""en"", ""ko"")"),"낚시 및 사냥")</f>
        <v>낚시 및 사냥</v>
      </c>
      <c r="C175" s="1">
        <v>4065</v>
      </c>
      <c r="D175" s="1">
        <v>2.2999999999999998</v>
      </c>
      <c r="E175" s="1" t="str">
        <f ca="1">IFERROR(__xludf.DUMMYFUNCTION("GOOGLETRANSLATE(E175, ""en"", ""ko"")"),"창을 들고 서서 낚시하다")</f>
        <v>창을 들고 서서 낚시하다</v>
      </c>
      <c r="M175" s="1"/>
      <c r="O175" s="1"/>
    </row>
    <row r="176" spans="1:15" ht="16.5" customHeight="1">
      <c r="A176" s="1">
        <v>174</v>
      </c>
      <c r="B176" s="1" t="str">
        <f ca="1">IFERROR(__xludf.DUMMYFUNCTION("GOOGLETRANSLATE(B176, ""en"", ""ko"")"),"낚시 및 사냥")</f>
        <v>낚시 및 사냥</v>
      </c>
      <c r="C176" s="1">
        <v>4070</v>
      </c>
      <c r="D176" s="1">
        <v>2.5</v>
      </c>
      <c r="E176" s="1" t="str">
        <f ca="1">IFERROR(__xludf.DUMMYFUNCTION("GOOGLETRANSLATE(E176, ""en"", ""ko"")"),"사냥, 활과 화살 또는 석궁")</f>
        <v>사냥, 활과 화살 또는 석궁</v>
      </c>
      <c r="M176" s="1"/>
      <c r="O176" s="1"/>
    </row>
    <row r="177" spans="1:15" ht="16.5" customHeight="1">
      <c r="A177" s="1">
        <v>175</v>
      </c>
      <c r="B177" s="1" t="str">
        <f ca="1">IFERROR(__xludf.DUMMYFUNCTION("GOOGLETRANSLATE(B177, ""en"", ""ko"")"),"낚시 및 사냥")</f>
        <v>낚시 및 사냥</v>
      </c>
      <c r="C177" s="1">
        <v>4080</v>
      </c>
      <c r="D177" s="1">
        <v>6</v>
      </c>
      <c r="E177" s="1" t="str">
        <f ca="1">IFERROR(__xludf.DUMMYFUNCTION("GOOGLETRANSLATE(E177, ""en"", ""ko"")"),"사냥, 사슴, 엘크, 대형 사냥감")</f>
        <v>사냥, 사슴, 엘크, 대형 사냥감</v>
      </c>
      <c r="M177" s="1"/>
      <c r="O177" s="1"/>
    </row>
    <row r="178" spans="1:15" ht="16.5" customHeight="1">
      <c r="A178" s="1">
        <v>176</v>
      </c>
      <c r="B178" s="1" t="str">
        <f ca="1">IFERROR(__xludf.DUMMYFUNCTION("GOOGLETRANSLATE(B178, ""en"", ""ko"")"),"낚시 및 사냥")</f>
        <v>낚시 및 사냥</v>
      </c>
      <c r="C178" s="1">
        <v>4081</v>
      </c>
      <c r="D178" s="1">
        <v>9.8000000000000007</v>
      </c>
      <c r="E178" s="1" t="str">
        <f ca="1">IFERROR(__xludf.DUMMYFUNCTION("GOOGLETRANSLATE(E178, ""en"", ""ko"")"),"대형 사냥감 사냥, 사체 끌기")</f>
        <v>대형 사냥감 사냥, 사체 끌기</v>
      </c>
      <c r="M178" s="1"/>
      <c r="O178" s="1"/>
    </row>
    <row r="179" spans="1:15" ht="16.5" customHeight="1">
      <c r="A179" s="1">
        <v>177</v>
      </c>
      <c r="B179" s="1" t="str">
        <f ca="1">IFERROR(__xludf.DUMMYFUNCTION("GOOGLETRANSLATE(B179, ""en"", ""ko"")"),"낚시 및 사냥")</f>
        <v>낚시 및 사냥</v>
      </c>
      <c r="C179" s="1">
        <v>4083</v>
      </c>
      <c r="D179" s="1">
        <v>4</v>
      </c>
      <c r="E179" s="1" t="str">
        <f ca="1">IFERROR(__xludf.DUMMYFUNCTION("GOOGLETRANSLATE(E179, ""en"", ""ko"")"),"대형 해양 동물 사냥")</f>
        <v>대형 해양 동물 사냥</v>
      </c>
      <c r="M179" s="1"/>
      <c r="O179" s="1"/>
    </row>
    <row r="180" spans="1:15" ht="16.5" customHeight="1">
      <c r="A180" s="1">
        <v>178</v>
      </c>
      <c r="B180" s="1" t="str">
        <f ca="1">IFERROR(__xludf.DUMMYFUNCTION("GOOGLETRANSLATE(B180, ""en"", ""ko"")"),"낚시 및 사냥")</f>
        <v>낚시 및 사냥</v>
      </c>
      <c r="C180" s="1">
        <v>4085</v>
      </c>
      <c r="D180" s="1">
        <v>2.5</v>
      </c>
      <c r="E180" s="1" t="str">
        <f ca="1">IFERROR(__xludf.DUMMYFUNCTION("GOOGLETRANSLATE(E180, ""en"", ""ko"")"),"사냥, 사냥대에서 큰 사냥감 잡기, 제한된 걷기")</f>
        <v>사냥, 사냥대에서 큰 사냥감 잡기, 제한된 걷기</v>
      </c>
      <c r="M180" s="1"/>
      <c r="O180" s="1"/>
    </row>
    <row r="181" spans="1:15" ht="16.5" customHeight="1">
      <c r="A181" s="1">
        <v>179</v>
      </c>
      <c r="B181" s="1" t="str">
        <f ca="1">IFERROR(__xludf.DUMMYFUNCTION("GOOGLETRANSLATE(B181, ""en"", ""ko"")"),"낚시 및 사냥")</f>
        <v>낚시 및 사냥</v>
      </c>
      <c r="C181" s="1">
        <v>4086</v>
      </c>
      <c r="D181" s="1">
        <v>2</v>
      </c>
      <c r="E181" s="1" t="str">
        <f ca="1">IFERROR(__xludf.DUMMYFUNCTION("GOOGLETRANSLATE(E181, ""en"", ""ko"")"),"자동차, 비행기 또는 보트에서 대형 사냥감 사냥")</f>
        <v>자동차, 비행기 또는 보트에서 대형 사냥감 사냥</v>
      </c>
      <c r="M181" s="1"/>
      <c r="O181" s="1"/>
    </row>
    <row r="182" spans="1:15" ht="16.5" customHeight="1">
      <c r="A182" s="1">
        <v>180</v>
      </c>
      <c r="B182" s="1" t="str">
        <f ca="1">IFERROR(__xludf.DUMMYFUNCTION("GOOGLETRANSLATE(B182, ""en"", ""ko"")"),"낚시 및 사냥")</f>
        <v>낚시 및 사냥</v>
      </c>
      <c r="C182" s="1">
        <v>4090</v>
      </c>
      <c r="D182" s="1">
        <v>2.5</v>
      </c>
      <c r="E182" s="1" t="str">
        <f ca="1">IFERROR(__xludf.DUMMYFUNCTION("GOOGLETRANSLATE(E182, ""en"", ""ko"")"),"사냥, 오리, 물놀이")</f>
        <v>사냥, 오리, 물놀이</v>
      </c>
      <c r="M182" s="1"/>
      <c r="O182" s="1"/>
    </row>
    <row r="183" spans="1:15" ht="16.5" customHeight="1">
      <c r="A183" s="1">
        <v>181</v>
      </c>
      <c r="B183" s="1" t="str">
        <f ca="1">IFERROR(__xludf.DUMMYFUNCTION("GOOGLETRANSLATE(B183, ""en"", ""ko"")"),"낚시 및 사냥")</f>
        <v>낚시 및 사냥</v>
      </c>
      <c r="C183" s="1">
        <v>4095</v>
      </c>
      <c r="D183" s="1">
        <v>3</v>
      </c>
      <c r="E183" s="1" t="str">
        <f ca="1">IFERROR(__xludf.DUMMYFUNCTION("GOOGLETRANSLATE(E183, ""en"", ""ko"")"),"날여우, 다람쥐 사냥")</f>
        <v>날여우, 다람쥐 사냥</v>
      </c>
      <c r="M183" s="1"/>
      <c r="O183" s="1"/>
    </row>
    <row r="184" spans="1:15" ht="16.5" customHeight="1">
      <c r="A184" s="1">
        <v>182</v>
      </c>
      <c r="B184" s="1" t="str">
        <f ca="1">IFERROR(__xludf.DUMMYFUNCTION("GOOGLETRANSLATE(B184, ""en"", ""ko"")"),"낚시 및 사냥")</f>
        <v>낚시 및 사냥</v>
      </c>
      <c r="C184" s="1">
        <v>4100</v>
      </c>
      <c r="D184" s="1">
        <v>5</v>
      </c>
      <c r="E184" s="1" t="str">
        <f ca="1">IFERROR(__xludf.DUMMYFUNCTION("GOOGLETRANSLATE(E184, ""en"", ""ko"")"),"사냥, 일반")</f>
        <v>사냥, 일반</v>
      </c>
      <c r="M184" s="1"/>
      <c r="O184" s="1"/>
    </row>
    <row r="185" spans="1:15" ht="16.5" customHeight="1">
      <c r="A185" s="1">
        <v>183</v>
      </c>
      <c r="B185" s="1" t="str">
        <f ca="1">IFERROR(__xludf.DUMMYFUNCTION("GOOGLETRANSLATE(B185, ""en"", ""ko"")"),"낚시 및 사냥")</f>
        <v>낚시 및 사냥</v>
      </c>
      <c r="C185" s="1">
        <v>4110</v>
      </c>
      <c r="D185" s="1">
        <v>6</v>
      </c>
      <c r="E185" s="1" t="str">
        <f ca="1">IFERROR(__xludf.DUMMYFUNCTION("GOOGLETRANSLATE(E185, ""en"", ""ko"")"),"사냥, 꿩 또는 뇌조")</f>
        <v>사냥, 꿩 또는 뇌조</v>
      </c>
      <c r="M185" s="1"/>
      <c r="O185" s="1"/>
    </row>
    <row r="186" spans="1:15" ht="16.5" customHeight="1">
      <c r="A186" s="1">
        <v>184</v>
      </c>
      <c r="B186" s="1" t="str">
        <f ca="1">IFERROR(__xludf.DUMMYFUNCTION("GOOGLETRANSLATE(B186, ""en"", ""ko"")"),"낚시 및 사냥")</f>
        <v>낚시 및 사냥</v>
      </c>
      <c r="C186" s="1">
        <v>4115</v>
      </c>
      <c r="D186" s="1">
        <v>3.3</v>
      </c>
      <c r="E186" s="1" t="str">
        <f ca="1">IFERROR(__xludf.DUMMYFUNCTION("GOOGLETRANSLATE(E186, ""en"", ""ko"")"),"새 사냥")</f>
        <v>새 사냥</v>
      </c>
      <c r="M186" s="1"/>
      <c r="O186" s="1"/>
    </row>
    <row r="187" spans="1:15" ht="16.5" customHeight="1">
      <c r="A187" s="1">
        <v>185</v>
      </c>
      <c r="B187" s="1" t="str">
        <f ca="1">IFERROR(__xludf.DUMMYFUNCTION("GOOGLETRANSLATE(B187, ""en"", ""ko"")"),"낚시 및 사냥")</f>
        <v>낚시 및 사냥</v>
      </c>
      <c r="C187" s="1">
        <v>4120</v>
      </c>
      <c r="D187" s="1">
        <v>5</v>
      </c>
      <c r="E187" s="1" t="str">
        <f ca="1">IFERROR(__xludf.DUMMYFUNCTION("GOOGLETRANSLATE(E187, ""en"", ""ko"")"),"사냥, 토끼, 다람쥐, 초원 병아리, 너구리, 작은 사냥감")</f>
        <v>사냥, 토끼, 다람쥐, 초원 병아리, 너구리, 작은 사냥감</v>
      </c>
      <c r="M187" s="1"/>
      <c r="O187" s="1"/>
    </row>
    <row r="188" spans="1:15" ht="16.5" customHeight="1">
      <c r="A188" s="1">
        <v>186</v>
      </c>
      <c r="B188" s="1" t="str">
        <f ca="1">IFERROR(__xludf.DUMMYFUNCTION("GOOGLETRANSLATE(B188, ""en"", ""ko"")"),"낚시 및 사냥")</f>
        <v>낚시 및 사냥</v>
      </c>
      <c r="C188" s="1">
        <v>4123</v>
      </c>
      <c r="D188" s="1">
        <v>3.3</v>
      </c>
      <c r="E188" s="1" t="str">
        <f ca="1">IFERROR(__xludf.DUMMYFUNCTION("GOOGLETRANSLATE(E188, ""en"", ""ko"")"),"사냥 돼지, 야생")</f>
        <v>사냥 돼지, 야생</v>
      </c>
      <c r="M188" s="1"/>
      <c r="O188" s="1"/>
    </row>
    <row r="189" spans="1:15" ht="16.5" customHeight="1">
      <c r="A189" s="1">
        <v>187</v>
      </c>
      <c r="B189" s="1" t="str">
        <f ca="1">IFERROR(__xludf.DUMMYFUNCTION("GOOGLETRANSLATE(B189, ""en"", ""ko"")"),"낚시 및 사냥")</f>
        <v>낚시 및 사냥</v>
      </c>
      <c r="C189" s="1">
        <v>4124</v>
      </c>
      <c r="D189" s="1">
        <v>2</v>
      </c>
      <c r="E189" s="1" t="str">
        <f ca="1">IFERROR(__xludf.DUMMYFUNCTION("GOOGLETRANSLATE(E189, ""en"", ""ko"")"),"트래핑 게임, 일반")</f>
        <v>트래핑 게임, 일반</v>
      </c>
      <c r="M189" s="1"/>
      <c r="O189" s="1"/>
    </row>
    <row r="190" spans="1:15" ht="16.5" customHeight="1">
      <c r="A190" s="1">
        <v>188</v>
      </c>
      <c r="B190" s="1" t="str">
        <f ca="1">IFERROR(__xludf.DUMMYFUNCTION("GOOGLETRANSLATE(B190, ""en"", ""ko"")"),"낚시 및 사냥")</f>
        <v>낚시 및 사냥</v>
      </c>
      <c r="C190" s="1">
        <v>4125</v>
      </c>
      <c r="D190" s="1">
        <v>9.5</v>
      </c>
      <c r="E190" s="1" t="str">
        <f ca="1">IFERROR(__xludf.DUMMYFUNCTION("GOOGLETRANSLATE(E190, ""en"", ""ko"")"),"사냥 - 사냥 장비를 착용하고 하이킹하기")</f>
        <v>사냥 - 사냥 장비를 착용하고 하이킹하기</v>
      </c>
      <c r="M190" s="1"/>
      <c r="O190" s="1"/>
    </row>
    <row r="191" spans="1:15" ht="16.5" customHeight="1">
      <c r="A191" s="1">
        <v>189</v>
      </c>
      <c r="B191" s="1" t="str">
        <f ca="1">IFERROR(__xludf.DUMMYFUNCTION("GOOGLETRANSLATE(B191, ""en"", ""ko"")"),"낚시 및 사냥")</f>
        <v>낚시 및 사냥</v>
      </c>
      <c r="C191" s="1">
        <v>4130</v>
      </c>
      <c r="D191" s="1">
        <v>2.5</v>
      </c>
      <c r="E191" s="1" t="str">
        <f ca="1">IFERROR(__xludf.DUMMYFUNCTION("GOOGLETRANSLATE(E191, ""en"", ""ko"")"),"권총 사격 또는 함정 사격, 서서")</f>
        <v>권총 사격 또는 함정 사격, 서서</v>
      </c>
      <c r="M191" s="1"/>
      <c r="O191" s="1"/>
    </row>
    <row r="192" spans="1:15" ht="16.5" customHeight="1">
      <c r="A192" s="1">
        <v>190</v>
      </c>
      <c r="B192" s="1" t="str">
        <f ca="1">IFERROR(__xludf.DUMMYFUNCTION("GOOGLETRANSLATE(B192, ""en"", ""ko"")"),"낚시 및 사냥")</f>
        <v>낚시 및 사냥</v>
      </c>
      <c r="C192" s="1">
        <v>4140</v>
      </c>
      <c r="D192" s="1">
        <v>2.2999999999999998</v>
      </c>
      <c r="E192" s="1" t="str">
        <f ca="1">IFERROR(__xludf.DUMMYFUNCTION("GOOGLETRANSLATE(E192, ""en"", ""ko"")"),"소총 연습, 사격, 누워서")</f>
        <v>소총 연습, 사격, 누워서</v>
      </c>
      <c r="M192" s="1"/>
      <c r="O192" s="1"/>
    </row>
    <row r="193" spans="1:15" ht="16.5" customHeight="1">
      <c r="A193" s="1">
        <v>191</v>
      </c>
      <c r="B193" s="1" t="str">
        <f ca="1">IFERROR(__xludf.DUMMYFUNCTION("GOOGLETRANSLATE(B193, ""en"", ""ko"")"),"낚시 및 사냥")</f>
        <v>낚시 및 사냥</v>
      </c>
      <c r="C193" s="1">
        <v>4145</v>
      </c>
      <c r="D193" s="1">
        <v>2.5</v>
      </c>
      <c r="E193" s="1" t="str">
        <f ca="1">IFERROR(__xludf.DUMMYFUNCTION("GOOGLETRANSLATE(E193, ""en"", ""ko"")"),"소총 연습, 사격, 무릎 꿇기 또는 서기")</f>
        <v>소총 연습, 사격, 무릎 꿇기 또는 서기</v>
      </c>
      <c r="M193" s="1"/>
      <c r="O193" s="1"/>
    </row>
    <row r="194" spans="1:15" ht="16.5" customHeight="1">
      <c r="A194" s="1">
        <v>192</v>
      </c>
      <c r="B194" s="1" t="str">
        <f ca="1">IFERROR(__xludf.DUMMYFUNCTION("GOOGLETRANSLATE(B194, ""en"", ""ko"")"),"낚시 및 사냥")</f>
        <v>낚시 및 사냥</v>
      </c>
      <c r="C194" s="1">
        <v>4150</v>
      </c>
      <c r="D194" s="1">
        <v>2.8</v>
      </c>
      <c r="E194" s="1" t="str">
        <f ca="1">IFERROR(__xludf.DUMMYFUNCTION("GOOGLETRANSLATE(E194, ""en"", ""ko"")"),"채집, 0-9.9kg 배낭")</f>
        <v>채집, 0-9.9kg 배낭</v>
      </c>
      <c r="M194" s="1"/>
      <c r="O194" s="1"/>
    </row>
    <row r="195" spans="1:15" ht="16.5" customHeight="1">
      <c r="A195" s="1">
        <v>193</v>
      </c>
      <c r="B195" s="1" t="str">
        <f ca="1">IFERROR(__xludf.DUMMYFUNCTION("GOOGLETRANSLATE(B195, ""en"", ""ko"")"),"낚시 및 사냥")</f>
        <v>낚시 및 사냥</v>
      </c>
      <c r="C195" s="1">
        <v>4152</v>
      </c>
      <c r="D195" s="1">
        <v>3</v>
      </c>
      <c r="E195" s="1" t="str">
        <f ca="1">IFERROR(__xludf.DUMMYFUNCTION("GOOGLETRANSLATE(E195, ""en"", ""ko"")"),"채집, 10-15kg 배낭")</f>
        <v>채집, 10-15kg 배낭</v>
      </c>
      <c r="M195" s="1"/>
      <c r="O195" s="1"/>
    </row>
    <row r="196" spans="1:15" ht="16.5" customHeight="1">
      <c r="A196" s="1">
        <v>194</v>
      </c>
      <c r="B196" s="1" t="str">
        <f ca="1">IFERROR(__xludf.DUMMYFUNCTION("GOOGLETRANSLATE(B196, ""en"", ""ko"")"),"낚시 및 사냥")</f>
        <v>낚시 및 사냥</v>
      </c>
      <c r="C196" s="1">
        <v>4160</v>
      </c>
      <c r="D196" s="1">
        <v>1</v>
      </c>
      <c r="E196" s="1" t="str">
        <f ca="1">IFERROR(__xludf.DUMMYFUNCTION("GOOGLETRANSLATE(E196, ""en"", ""ko"")"),"보트에 앉아 있는 승객")</f>
        <v>보트에 앉아 있는 승객</v>
      </c>
      <c r="M196" s="1"/>
      <c r="O196" s="1"/>
    </row>
    <row r="197" spans="1:15" ht="16.5" customHeight="1">
      <c r="A197" s="1">
        <v>195</v>
      </c>
      <c r="B197" s="1" t="str">
        <f ca="1">IFERROR(__xludf.DUMMYFUNCTION("GOOGLETRANSLATE(B197, ""en"", ""ko"")"),"낚시 및 사냥")</f>
        <v>낚시 및 사냥</v>
      </c>
      <c r="C197" s="1">
        <v>4164</v>
      </c>
      <c r="D197" s="1">
        <v>1.5</v>
      </c>
      <c r="E197" s="1" t="str">
        <f ca="1">IFERROR(__xludf.DUMMYFUNCTION("GOOGLETRANSLATE(E197, ""en"", ""ko"")"),"보트에 서서")</f>
        <v>보트에 서서</v>
      </c>
      <c r="M197" s="1"/>
      <c r="O197" s="1"/>
    </row>
    <row r="198" spans="1:15" ht="16.5" customHeight="1">
      <c r="A198" s="1">
        <v>196</v>
      </c>
      <c r="B198" s="1" t="str">
        <f ca="1">IFERROR(__xludf.DUMMYFUNCTION("GOOGLETRANSLATE(B198, ""en"", ""ko"")"),"낚시 및 사냥")</f>
        <v>낚시 및 사냥</v>
      </c>
      <c r="C198" s="1">
        <v>4168</v>
      </c>
      <c r="D198" s="1">
        <v>3.3</v>
      </c>
      <c r="E198" s="1" t="str">
        <f ca="1">IFERROR(__xludf.DUMMYFUNCTION("GOOGLETRANSLATE(E198, ""en"", ""ko"")"),"보트에서의 활동, 들어올리기, 내리기")</f>
        <v>보트에서의 활동, 들어올리기, 내리기</v>
      </c>
      <c r="M198" s="1"/>
      <c r="O198" s="1"/>
    </row>
    <row r="199" spans="1:15" ht="16.5" customHeight="1">
      <c r="A199" s="1">
        <v>197</v>
      </c>
      <c r="B199" s="1" t="str">
        <f ca="1">IFERROR(__xludf.DUMMYFUNCTION("GOOGLETRANSLATE(B199, ""en"", ""ko"")"),"홈 활동")</f>
        <v>홈 활동</v>
      </c>
      <c r="C199" s="1">
        <v>5010</v>
      </c>
      <c r="D199" s="1">
        <v>3.3</v>
      </c>
      <c r="E199" s="1" t="str">
        <f ca="1">IFERROR(__xludf.DUMMYFUNCTION("GOOGLETRANSLATE(E199, ""en"", ""ko"")"),"청소, 카펫이나 바닥 청소, 일반")</f>
        <v>청소, 카펫이나 바닥 청소, 일반</v>
      </c>
      <c r="M199" s="1"/>
      <c r="O199" s="1"/>
    </row>
    <row r="200" spans="1:15" ht="16.5" customHeight="1">
      <c r="A200" s="1">
        <v>198</v>
      </c>
      <c r="B200" s="1" t="str">
        <f ca="1">IFERROR(__xludf.DUMMYFUNCTION("GOOGLETRANSLATE(B200, ""en"", ""ko"")"),"홈 활동")</f>
        <v>홈 활동</v>
      </c>
      <c r="C200" s="1">
        <v>5011</v>
      </c>
      <c r="D200" s="1">
        <v>2.2999999999999998</v>
      </c>
      <c r="E200" s="1" t="str">
        <f ca="1">IFERROR(__xludf.DUMMYFUNCTION("GOOGLETRANSLATE(E200, ""en"", ""ko"")"),"청소, 쓸기, 천천히, 가벼운 노력")</f>
        <v>청소, 쓸기, 천천히, 가벼운 노력</v>
      </c>
      <c r="M200" s="1"/>
      <c r="O200" s="1"/>
    </row>
    <row r="201" spans="1:15" ht="16.5" customHeight="1">
      <c r="A201" s="1">
        <v>199</v>
      </c>
      <c r="B201" s="1" t="str">
        <f ca="1">IFERROR(__xludf.DUMMYFUNCTION("GOOGLETRANSLATE(B201, ""en"", ""ko"")"),"홈 활동")</f>
        <v>홈 활동</v>
      </c>
      <c r="C201" s="1">
        <v>5012</v>
      </c>
      <c r="D201" s="1">
        <v>3.8</v>
      </c>
      <c r="E201" s="1" t="str">
        <f ca="1">IFERROR(__xludf.DUMMYFUNCTION("GOOGLETRANSLATE(E201, ""en"", ""ko"")"),"청소, 쓸기, 빠르고 적당한 노력")</f>
        <v>청소, 쓸기, 빠르고 적당한 노력</v>
      </c>
      <c r="M201" s="1"/>
      <c r="O201" s="1"/>
    </row>
    <row r="202" spans="1:15" ht="16.5" customHeight="1">
      <c r="A202" s="1">
        <v>200</v>
      </c>
      <c r="B202" s="1" t="str">
        <f ca="1">IFERROR(__xludf.DUMMYFUNCTION("GOOGLETRANSLATE(B202, ""en"", ""ko"")"),"홈 활동")</f>
        <v>홈 활동</v>
      </c>
      <c r="C202" s="1">
        <v>5020</v>
      </c>
      <c r="D202" s="1">
        <v>3.5</v>
      </c>
      <c r="E202" s="1" t="str">
        <f ca="1">IFERROR(__xludf.DUMMYFUNCTION("GOOGLETRANSLATE(E202, ""en"", ""ko"")"),"무거운 또는 대규모 청소(예: 세차, 차고 청소), 중간 정도의 노력")</f>
        <v>무거운 또는 대규모 청소(예: 세차, 차고 청소), 중간 정도의 노력</v>
      </c>
      <c r="M202" s="1"/>
      <c r="O202" s="1"/>
    </row>
    <row r="203" spans="1:15" ht="16.5" customHeight="1">
      <c r="A203" s="1">
        <v>201</v>
      </c>
      <c r="B203" s="1" t="str">
        <f ca="1">IFERROR(__xludf.DUMMYFUNCTION("GOOGLETRANSLATE(B203, ""en"", ""ko"")"),"홈 활동")</f>
        <v>홈 활동</v>
      </c>
      <c r="C203" s="1">
        <v>5021</v>
      </c>
      <c r="D203" s="1">
        <v>3.5</v>
      </c>
      <c r="E203" s="1" t="str">
        <f ca="1">IFERROR(__xludf.DUMMYFUNCTION("GOOGLETRANSLATE(E203, ""en"", ""ko"")"),"청소, 걸레질, 서 있기, 중간 정도의 노력")</f>
        <v>청소, 걸레질, 서 있기, 중간 정도의 노력</v>
      </c>
      <c r="M203" s="1"/>
      <c r="O203" s="1"/>
    </row>
    <row r="204" spans="1:15" ht="16.5" customHeight="1">
      <c r="A204" s="1">
        <v>202</v>
      </c>
      <c r="B204" s="1" t="str">
        <f ca="1">IFERROR(__xludf.DUMMYFUNCTION("GOOGLETRANSLATE(B204, ""en"", ""ko"")"),"홈 활동")</f>
        <v>홈 활동</v>
      </c>
      <c r="C204" s="1">
        <v>5022</v>
      </c>
      <c r="D204" s="1">
        <v>3.3</v>
      </c>
      <c r="E204" s="1" t="str">
        <f ca="1">IFERROR(__xludf.DUMMYFUNCTION("GOOGLETRANSLATE(E204, ""en"", ""ko"")"),"창문 청소, 창문 세척, 일반")</f>
        <v>창문 청소, 창문 세척, 일반</v>
      </c>
      <c r="M204" s="1"/>
      <c r="O204" s="1"/>
    </row>
    <row r="205" spans="1:15" ht="16.5" customHeight="1">
      <c r="A205" s="1">
        <v>203</v>
      </c>
      <c r="B205" s="1" t="str">
        <f ca="1">IFERROR(__xludf.DUMMYFUNCTION("GOOGLETRANSLATE(B205, ""en"", ""ko"")"),"홈 활동")</f>
        <v>홈 활동</v>
      </c>
      <c r="C205" s="1">
        <v>5023</v>
      </c>
      <c r="D205" s="1">
        <v>2.5</v>
      </c>
      <c r="E205" s="1" t="str">
        <f ca="1">IFERROR(__xludf.DUMMYFUNCTION("GOOGLETRANSLATE(E205, ""en"", ""ko"")"),"걸레질, 서서, 가벼운 노력")</f>
        <v>걸레질, 서서, 가벼운 노력</v>
      </c>
      <c r="M205" s="1"/>
      <c r="O205" s="1"/>
    </row>
    <row r="206" spans="1:15" ht="16.5" customHeight="1">
      <c r="A206" s="1">
        <v>204</v>
      </c>
      <c r="B206" s="1" t="str">
        <f ca="1">IFERROR(__xludf.DUMMYFUNCTION("GOOGLETRANSLATE(B206, ""en"", ""ko"")"),"홈 활동")</f>
        <v>홈 활동</v>
      </c>
      <c r="C206" s="1">
        <v>5024</v>
      </c>
      <c r="D206" s="1">
        <v>4.5</v>
      </c>
      <c r="E206" s="1" t="str">
        <f ca="1">IFERROR(__xludf.DUMMYFUNCTION("GOOGLETRANSLATE(E206, ""en"", ""ko"")"),"바닥광택, 서서, 천천히 걷기, 전기광택기 사용")</f>
        <v>바닥광택, 서서, 천천히 걷기, 전기광택기 사용</v>
      </c>
      <c r="M206" s="1"/>
      <c r="O206" s="1"/>
    </row>
    <row r="207" spans="1:15" ht="16.5" customHeight="1">
      <c r="A207" s="1">
        <v>205</v>
      </c>
      <c r="B207" s="1" t="str">
        <f ca="1">IFERROR(__xludf.DUMMYFUNCTION("GOOGLETRANSLATE(B207, ""en"", ""ko"")"),"홈 활동")</f>
        <v>홈 활동</v>
      </c>
      <c r="C207" s="1">
        <v>5025</v>
      </c>
      <c r="D207" s="1">
        <v>2.8</v>
      </c>
      <c r="E207" s="1" t="str">
        <f ca="1">IFERROR(__xludf.DUMMYFUNCTION("GOOGLETRANSLATE(E207, ""en"", ""ko"")"),"여러 가지 집안일을 한꺼번에, 가벼운 노력으로")</f>
        <v>여러 가지 집안일을 한꺼번에, 가벼운 노력으로</v>
      </c>
      <c r="M207" s="1"/>
      <c r="O207" s="1"/>
    </row>
    <row r="208" spans="1:15" ht="16.5" customHeight="1">
      <c r="A208" s="1">
        <v>206</v>
      </c>
      <c r="B208" s="1" t="str">
        <f ca="1">IFERROR(__xludf.DUMMYFUNCTION("GOOGLETRANSLATE(B208, ""en"", ""ko"")"),"홈 활동")</f>
        <v>홈 활동</v>
      </c>
      <c r="C208" s="1">
        <v>5026</v>
      </c>
      <c r="D208" s="1">
        <v>3.3</v>
      </c>
      <c r="E208" s="1" t="str">
        <f ca="1">IFERROR(__xludf.DUMMYFUNCTION("GOOGLETRANSLATE(E208, ""en"", ""ko"")"),"여러 가지 집안일을 한꺼번에 해야 하는데, 노력도 적당하다")</f>
        <v>여러 가지 집안일을 한꺼번에 해야 하는데, 노력도 적당하다</v>
      </c>
      <c r="M208" s="1"/>
      <c r="O208" s="1"/>
    </row>
    <row r="209" spans="1:15" ht="16.5" customHeight="1">
      <c r="A209" s="1">
        <v>207</v>
      </c>
      <c r="B209" s="1" t="str">
        <f ca="1">IFERROR(__xludf.DUMMYFUNCTION("GOOGLETRANSLATE(B209, ""en"", ""ko"")"),"홈 활동")</f>
        <v>홈 활동</v>
      </c>
      <c r="C209" s="1">
        <v>5027</v>
      </c>
      <c r="D209" s="1">
        <v>4.3</v>
      </c>
      <c r="E209" s="1" t="str">
        <f ca="1">IFERROR(__xludf.DUMMYFUNCTION("GOOGLETRANSLATE(E209, ""en"", ""ko"")"),"여러 가지 집안일을 한꺼번에, 힘겹게")</f>
        <v>여러 가지 집안일을 한꺼번에, 힘겹게</v>
      </c>
      <c r="M209" s="1"/>
      <c r="O209" s="1"/>
    </row>
    <row r="210" spans="1:15" ht="16.5" customHeight="1">
      <c r="A210" s="1">
        <v>208</v>
      </c>
      <c r="B210" s="1" t="str">
        <f ca="1">IFERROR(__xludf.DUMMYFUNCTION("GOOGLETRANSLATE(B210, ""en"", ""ko"")"),"홈 활동")</f>
        <v>홈 활동</v>
      </c>
      <c r="C210" s="1">
        <v>5030</v>
      </c>
      <c r="D210" s="1">
        <v>3.3</v>
      </c>
      <c r="E210" s="1" t="str">
        <f ca="1">IFERROR(__xludf.DUMMYFUNCTION("GOOGLETRANSLATE(E210, ""en"", ""ko"")"),"청소, 집 또는 오두막, 일반, 중간 노력")</f>
        <v>청소, 집 또는 오두막, 일반, 중간 노력</v>
      </c>
      <c r="M210" s="1"/>
      <c r="O210" s="1"/>
    </row>
    <row r="211" spans="1:15" ht="16.5" customHeight="1">
      <c r="A211" s="1">
        <v>209</v>
      </c>
      <c r="B211" s="1" t="str">
        <f ca="1">IFERROR(__xludf.DUMMYFUNCTION("GOOGLETRANSLATE(B211, ""en"", ""ko"")"),"홈 활동")</f>
        <v>홈 활동</v>
      </c>
      <c r="C211" s="1">
        <v>5032</v>
      </c>
      <c r="D211" s="1">
        <v>2.5</v>
      </c>
      <c r="E211" s="1" t="str">
        <f ca="1">IFERROR(__xludf.DUMMYFUNCTION("GOOGLETRANSLATE(E211, ""en"", ""ko"")"),"가구 먼지 털기 또는 광택, 일반")</f>
        <v>가구 먼지 털기 또는 광택, 일반</v>
      </c>
      <c r="M211" s="1"/>
      <c r="O211" s="1"/>
    </row>
    <row r="212" spans="1:15" ht="16.5" customHeight="1">
      <c r="A212" s="1">
        <v>210</v>
      </c>
      <c r="B212" s="1" t="str">
        <f ca="1">IFERROR(__xludf.DUMMYFUNCTION("GOOGLETRANSLATE(B212, ""en"", ""ko"")"),"홈 활동")</f>
        <v>홈 활동</v>
      </c>
      <c r="C212" s="1">
        <v>5035</v>
      </c>
      <c r="D212" s="1">
        <v>3.3</v>
      </c>
      <c r="E212" s="1" t="str">
        <f ca="1">IFERROR(__xludf.DUMMYFUNCTION("GOOGLETRANSLATE(E212, ""en"", ""ko"")"),"주방 활동, 일반(예: 요리, 설거지, 청소) 중간 정도의 노력")</f>
        <v>주방 활동, 일반(예: 요리, 설거지, 청소) 중간 정도의 노력</v>
      </c>
      <c r="M212" s="1"/>
      <c r="O212" s="1"/>
    </row>
    <row r="213" spans="1:15" ht="16.5" customHeight="1">
      <c r="A213" s="1">
        <v>211</v>
      </c>
      <c r="B213" s="1" t="str">
        <f ca="1">IFERROR(__xludf.DUMMYFUNCTION("GOOGLETRANSLATE(B213, ""en"", ""ko"")"),"홈 활동")</f>
        <v>홈 활동</v>
      </c>
      <c r="C213" s="1">
        <v>5040</v>
      </c>
      <c r="D213" s="1">
        <v>2.5</v>
      </c>
      <c r="E213" s="1" t="str">
        <f ca="1">IFERROR(__xludf.DUMMYFUNCTION("GOOGLETRANSLATE(E213, ""en"", ""ko"")"),"청소, 일반(정리, 린넨 교체, 쓰레기 처리), 가벼운 노력")</f>
        <v>청소, 일반(정리, 린넨 교체, 쓰레기 처리), 가벼운 노력</v>
      </c>
      <c r="M213" s="1"/>
      <c r="O213" s="1"/>
    </row>
    <row r="214" spans="1:15" ht="16.5" customHeight="1">
      <c r="A214" s="1">
        <v>212</v>
      </c>
      <c r="B214" s="1" t="str">
        <f ca="1">IFERROR(__xludf.DUMMYFUNCTION("GOOGLETRANSLATE(B214, ""en"", ""ko"")"),"홈 활동")</f>
        <v>홈 활동</v>
      </c>
      <c r="C214" s="1">
        <v>5041</v>
      </c>
      <c r="D214" s="1">
        <v>2</v>
      </c>
      <c r="E214" s="1" t="str">
        <f ca="1">IFERROR(__xludf.DUMMYFUNCTION("GOOGLETRANSLATE(E214, ""en"", ""ko"")"),"설거지, 서서 하거나 일반적으로 (서 있거나 걸어가는 구성 요소로 구분되지 않음)")</f>
        <v>설거지, 서서 하거나 일반적으로 (서 있거나 걸어가는 구성 요소로 구분되지 않음)</v>
      </c>
      <c r="M214" s="1"/>
      <c r="O214" s="1"/>
    </row>
    <row r="215" spans="1:15" ht="16.5" customHeight="1">
      <c r="A215" s="1">
        <v>213</v>
      </c>
      <c r="B215" s="1" t="str">
        <f ca="1">IFERROR(__xludf.DUMMYFUNCTION("GOOGLETRANSLATE(B215, ""en"", ""ko"")"),"홈 활동")</f>
        <v>홈 활동</v>
      </c>
      <c r="C215" s="1">
        <v>5042</v>
      </c>
      <c r="D215" s="1">
        <v>2</v>
      </c>
      <c r="E215" s="1" t="str">
        <f ca="1">IFERROR(__xludf.DUMMYFUNCTION("GOOGLETRANSLATE(E215, ""en"", ""ko"")"),"설거지, 테이블에서 접시 치우기, 걷기, 가벼운 노력")</f>
        <v>설거지, 테이블에서 접시 치우기, 걷기, 가벼운 노력</v>
      </c>
      <c r="M215" s="1"/>
      <c r="O215" s="1"/>
    </row>
    <row r="216" spans="1:15" ht="16.5" customHeight="1">
      <c r="A216" s="1">
        <v>214</v>
      </c>
      <c r="B216" s="1" t="str">
        <f ca="1">IFERROR(__xludf.DUMMYFUNCTION("GOOGLETRANSLATE(B216, ""en"", ""ko"")"),"홈 활동")</f>
        <v>홈 활동</v>
      </c>
      <c r="C216" s="1">
        <v>5043</v>
      </c>
      <c r="D216" s="1">
        <v>3</v>
      </c>
      <c r="E216" s="1" t="str">
        <f ca="1">IFERROR(__xludf.DUMMYFUNCTION("GOOGLETRANSLATE(E216, ""en"", ""ko"")"),"진공 청소, 일반, 중간 강도")</f>
        <v>진공 청소, 일반, 중간 강도</v>
      </c>
      <c r="M216" s="1"/>
      <c r="O216" s="1"/>
    </row>
    <row r="217" spans="1:15" ht="16.5" customHeight="1">
      <c r="A217" s="1">
        <v>215</v>
      </c>
      <c r="B217" s="1" t="str">
        <f ca="1">IFERROR(__xludf.DUMMYFUNCTION("GOOGLETRANSLATE(B217, ""en"", ""ko"")"),"홈 활동")</f>
        <v>홈 활동</v>
      </c>
      <c r="C217" s="1">
        <v>5044</v>
      </c>
      <c r="D217" s="1">
        <v>3</v>
      </c>
      <c r="E217" s="1" t="str">
        <f ca="1">IFERROR(__xludf.DUMMYFUNCTION("GOOGLETRANSLATE(E217, ""en"", ""ko"")"),"작은 동물 도살")</f>
        <v>작은 동물 도살</v>
      </c>
      <c r="M217" s="1"/>
      <c r="O217" s="1"/>
    </row>
    <row r="218" spans="1:15" ht="16.5" customHeight="1">
      <c r="A218" s="1">
        <v>216</v>
      </c>
      <c r="B218" s="1" t="str">
        <f ca="1">IFERROR(__xludf.DUMMYFUNCTION("GOOGLETRANSLATE(B218, ""en"", ""ko"")"),"홈 활동")</f>
        <v>홈 활동</v>
      </c>
      <c r="C218" s="1">
        <v>5045</v>
      </c>
      <c r="D218" s="1">
        <v>6</v>
      </c>
      <c r="E218" s="1" t="str">
        <f ca="1">IFERROR(__xludf.DUMMYFUNCTION("GOOGLETRANSLATE(E218, ""en"", ""ko"")"),"동물 도살, 대규모, 강력한 노력")</f>
        <v>동물 도살, 대규모, 강력한 노력</v>
      </c>
      <c r="M218" s="1"/>
      <c r="O218" s="1"/>
    </row>
    <row r="219" spans="1:15" ht="16.5" customHeight="1">
      <c r="A219" s="1">
        <v>217</v>
      </c>
      <c r="B219" s="1" t="str">
        <f ca="1">IFERROR(__xludf.DUMMYFUNCTION("GOOGLETRANSLATE(B219, ""en"", ""ko"")"),"홈 활동")</f>
        <v>홈 활동</v>
      </c>
      <c r="C219" s="1">
        <v>5046</v>
      </c>
      <c r="D219" s="1">
        <v>2.2999999999999998</v>
      </c>
      <c r="E219" s="1" t="str">
        <f ca="1">IFERROR(__xludf.DUMMYFUNCTION("GOOGLETRANSLATE(E219, ""en"", ""ko"")"),"생선을 자르고 훈제하고, 생선이나 고기를 건조합니다.")</f>
        <v>생선을 자르고 훈제하고, 생선이나 고기를 건조합니다.</v>
      </c>
      <c r="M219" s="1"/>
      <c r="O219" s="1"/>
    </row>
    <row r="220" spans="1:15" ht="16.5" customHeight="1">
      <c r="A220" s="1">
        <v>218</v>
      </c>
      <c r="B220" s="1" t="str">
        <f ca="1">IFERROR(__xludf.DUMMYFUNCTION("GOOGLETRANSLATE(B220, ""en"", ""ko"")"),"홈 활동")</f>
        <v>홈 활동</v>
      </c>
      <c r="C220" s="1">
        <v>5048</v>
      </c>
      <c r="D220" s="1">
        <v>4</v>
      </c>
      <c r="E220" s="1" t="str">
        <f ca="1">IFERROR(__xludf.DUMMYFUNCTION("GOOGLETRANSLATE(E220, ""en"", ""ko"")"),"가죽 무두질, 일반")</f>
        <v>가죽 무두질, 일반</v>
      </c>
      <c r="M220" s="1"/>
      <c r="O220" s="1"/>
    </row>
    <row r="221" spans="1:15" ht="16.5" customHeight="1">
      <c r="A221" s="1">
        <v>219</v>
      </c>
      <c r="B221" s="1" t="str">
        <f ca="1">IFERROR(__xludf.DUMMYFUNCTION("GOOGLETRANSLATE(B221, ""en"", ""ko"")"),"홈 활동")</f>
        <v>홈 활동</v>
      </c>
      <c r="C221" s="1">
        <v>5049</v>
      </c>
      <c r="D221" s="1">
        <v>3.5</v>
      </c>
      <c r="E221" s="1" t="str">
        <f ca="1">IFERROR(__xludf.DUMMYFUNCTION("GOOGLETRANSLATE(E221, ""en"", ""ko"")"),"요리 또는 음식 준비, 중간 정도의 노력")</f>
        <v>요리 또는 음식 준비, 중간 정도의 노력</v>
      </c>
      <c r="M221" s="1"/>
      <c r="O221" s="1"/>
    </row>
    <row r="222" spans="1:15" ht="16.5" customHeight="1">
      <c r="A222" s="1">
        <v>220</v>
      </c>
      <c r="B222" s="1" t="str">
        <f ca="1">IFERROR(__xludf.DUMMYFUNCTION("GOOGLETRANSLATE(B222, ""en"", ""ko"")"),"홈 활동")</f>
        <v>홈 활동</v>
      </c>
      <c r="C222" s="1">
        <v>5050</v>
      </c>
      <c r="D222" s="1">
        <v>2</v>
      </c>
      <c r="E222" s="1" t="str">
        <f ca="1">IFERROR(__xludf.DUMMYFUNCTION("GOOGLETRANSLATE(E222, ""en"", ""ko"")"),"요리 또는 음식 준비 - 서 있거나 앉아 있거나 일반적으로(서 있거나 걷는 구성 요소로 구분되지 않음), 수동 기기,")</f>
        <v>요리 또는 음식 준비 - 서 있거나 앉아 있거나 일반적으로(서 있거나 걷는 구성 요소로 구분되지 않음), 수동 기기,</v>
      </c>
      <c r="M222" s="1"/>
      <c r="O222" s="1"/>
    </row>
    <row r="223" spans="1:15" ht="16.5" customHeight="1">
      <c r="A223" s="1">
        <v>221</v>
      </c>
      <c r="B223" s="1" t="str">
        <f ca="1">IFERROR(__xludf.DUMMYFUNCTION("GOOGLETRANSLATE(B223, ""en"", ""ko"")"),"홈 활동")</f>
        <v>홈 활동</v>
      </c>
      <c r="C223" s="1">
        <v>5050</v>
      </c>
      <c r="D223" s="1">
        <v>2</v>
      </c>
      <c r="E223" s="1" t="str">
        <f ca="1">IFERROR(__xludf.DUMMYFUNCTION("GOOGLETRANSLATE(E223, ""en"", ""ko"")"),"요리 또는 음식 준비 - 서 있거나 앉아 있거나 일반적으로(서 있거나 걷는 구성 요소로 구분되지 않음), 수동 기구, 가벼운 노력")</f>
        <v>요리 또는 음식 준비 - 서 있거나 앉아 있거나 일반적으로(서 있거나 걷는 구성 요소로 구분되지 않음), 수동 기구, 가벼운 노력</v>
      </c>
      <c r="M223" s="1"/>
      <c r="O223" s="1"/>
    </row>
    <row r="224" spans="1:15" ht="16.5" customHeight="1">
      <c r="A224" s="1">
        <v>222</v>
      </c>
      <c r="B224" s="1" t="str">
        <f ca="1">IFERROR(__xludf.DUMMYFUNCTION("GOOGLETRANSLATE(B224, ""en"", ""ko"")"),"홈 활동")</f>
        <v>홈 활동</v>
      </c>
      <c r="C224" s="1">
        <v>5051</v>
      </c>
      <c r="D224" s="1">
        <v>2.2999999999999998</v>
      </c>
      <c r="E224" s="1" t="str">
        <f ca="1">IFERROR(__xludf.DUMMYFUNCTION("GOOGLETRANSLATE(E224, ""en"", ""ko"")"),"요리 또는 음식 준비, 걷기")</f>
        <v>요리 또는 음식 준비, 걷기</v>
      </c>
      <c r="M224" s="1"/>
      <c r="O224" s="1"/>
    </row>
    <row r="225" spans="1:15" ht="16.5" customHeight="1">
      <c r="A225" s="1">
        <v>223</v>
      </c>
      <c r="B225" s="1" t="str">
        <f ca="1">IFERROR(__xludf.DUMMYFUNCTION("GOOGLETRANSLATE(B225, ""en"", ""ko"")"),"홈 활동")</f>
        <v>홈 활동</v>
      </c>
      <c r="C225" s="1">
        <v>5052</v>
      </c>
      <c r="D225" s="1">
        <v>2.2999999999999998</v>
      </c>
      <c r="E225" s="1" t="str">
        <f ca="1">IFERROR(__xludf.DUMMYFUNCTION("GOOGLETRANSLATE(E225, ""en"", ""ko"")"),"음식 제공, 테이블 세팅/청소, 암묵적으로 걷기 또는 서 있기")</f>
        <v>음식 제공, 테이블 세팅/청소, 암묵적으로 걷기 또는 서 있기</v>
      </c>
      <c r="M225" s="1"/>
      <c r="O225" s="1"/>
    </row>
    <row r="226" spans="1:15" ht="16.5" customHeight="1">
      <c r="A226" s="1">
        <v>224</v>
      </c>
      <c r="B226" s="1" t="str">
        <f ca="1">IFERROR(__xludf.DUMMYFUNCTION("GOOGLETRANSLATE(B226, ""en"", ""ko"")"),"홈 활동")</f>
        <v>홈 활동</v>
      </c>
      <c r="C226" s="1">
        <v>5053</v>
      </c>
      <c r="D226" s="1">
        <v>2.5</v>
      </c>
      <c r="E226" s="1" t="str">
        <f ca="1">IFERROR(__xludf.DUMMYFUNCTION("GOOGLETRANSLATE(E226, ""en"", ""ko"")"),"가축에게 먹이를 주다")</f>
        <v>가축에게 먹이를 주다</v>
      </c>
      <c r="M226" s="1"/>
      <c r="O226" s="1"/>
    </row>
    <row r="227" spans="1:15" ht="16.5" customHeight="1">
      <c r="A227" s="1">
        <v>225</v>
      </c>
      <c r="B227" s="1" t="str">
        <f ca="1">IFERROR(__xludf.DUMMYFUNCTION("GOOGLETRANSLATE(B227, ""en"", ""ko"")"),"홈 활동")</f>
        <v>홈 활동</v>
      </c>
      <c r="C227" s="1">
        <v>5054</v>
      </c>
      <c r="D227" s="1">
        <v>3.5</v>
      </c>
      <c r="E227" s="1" t="str">
        <f ca="1">IFERROR(__xludf.DUMMYFUNCTION("GOOGLETRANSLATE(E227, ""en"", ""ko"")"),"평지에서 식료품을 들고 걸어가다")</f>
        <v>평지에서 식료품을 들고 걸어가다</v>
      </c>
      <c r="M227" s="1"/>
      <c r="O227" s="1"/>
    </row>
    <row r="228" spans="1:15" ht="16.5" customHeight="1">
      <c r="A228" s="1">
        <v>226</v>
      </c>
      <c r="B228" s="1" t="str">
        <f ca="1">IFERROR(__xludf.DUMMYFUNCTION("GOOGLETRANSLATE(B228, ""en"", ""ko"")"),"홈 활동")</f>
        <v>홈 활동</v>
      </c>
      <c r="C228" s="1">
        <v>5055</v>
      </c>
      <c r="D228" s="1">
        <v>2.5</v>
      </c>
      <c r="E228" s="1" t="str">
        <f ca="1">IFERROR(__xludf.DUMMYFUNCTION("GOOGLETRANSLATE(E228, ""en"", ""ko"")"),"식료품 정리하기(예: 식료품 운반, 패키지 운반)")</f>
        <v>식료품 정리하기(예: 식료품 운반, 패키지 운반)</v>
      </c>
      <c r="M228" s="1"/>
      <c r="O228" s="1"/>
    </row>
    <row r="229" spans="1:15" ht="16.5" customHeight="1">
      <c r="A229" s="1">
        <v>227</v>
      </c>
      <c r="B229" s="1" t="str">
        <f ca="1">IFERROR(__xludf.DUMMYFUNCTION("GOOGLETRANSLATE(B229, ""en"", ""ko"")"),"홈 활동")</f>
        <v>홈 활동</v>
      </c>
      <c r="C229" s="1">
        <v>5056</v>
      </c>
      <c r="D229" s="1">
        <v>5.3</v>
      </c>
      <c r="E229" s="1" t="str">
        <f ca="1">IFERROR(__xludf.DUMMYFUNCTION("GOOGLETRANSLATE(E229, ""en"", ""ko"")"),"식료품을 위층으로 운반하다")</f>
        <v>식료품을 위층으로 운반하다</v>
      </c>
      <c r="M229" s="1"/>
      <c r="O229" s="1"/>
    </row>
    <row r="230" spans="1:15" ht="16.5" customHeight="1">
      <c r="A230" s="1">
        <v>228</v>
      </c>
      <c r="B230" s="1" t="str">
        <f ca="1">IFERROR(__xludf.DUMMYFUNCTION("GOOGLETRANSLATE(B230, ""en"", ""ko"")"),"홈 활동")</f>
        <v>홈 활동</v>
      </c>
      <c r="C230" s="1">
        <v>5057</v>
      </c>
      <c r="D230" s="1">
        <v>3</v>
      </c>
      <c r="E230" s="1" t="str">
        <f ca="1">IFERROR(__xludf.DUMMYFUNCTION("GOOGLETRANSLATE(E230, ""en"", ""ko"")"),"외부 스토브에서 인도 빵이나 다른 음식을 요리하는 것")</f>
        <v>외부 스토브에서 인도 빵이나 다른 음식을 요리하는 것</v>
      </c>
      <c r="M230" s="1"/>
      <c r="O230" s="1"/>
    </row>
    <row r="231" spans="1:15" ht="16.5" customHeight="1">
      <c r="A231" s="1">
        <v>229</v>
      </c>
      <c r="B231" s="1" t="str">
        <f ca="1">IFERROR(__xludf.DUMMYFUNCTION("GOOGLETRANSLATE(B231, ""en"", ""ko"")"),"홈 활동")</f>
        <v>홈 활동</v>
      </c>
      <c r="C231" s="1">
        <v>5060</v>
      </c>
      <c r="D231" s="1">
        <v>3.3</v>
      </c>
      <c r="E231" s="1" t="str">
        <f ca="1">IFERROR(__xludf.DUMMYFUNCTION("GOOGLETRANSLATE(E231, ""en"", ""ko"")"),"식료품 카트를 이용하거나 이용하지 않고 식료품 쇼핑하기; 10poud 가방을 들고 다니기; 서 있거나 걷기")</f>
        <v>식료품 카트를 이용하거나 이용하지 않고 식료품 쇼핑하기; 10poud 가방을 들고 다니기; 서 있거나 걷기</v>
      </c>
      <c r="M231" s="1"/>
      <c r="O231" s="1"/>
    </row>
    <row r="232" spans="1:15" ht="16.5" customHeight="1">
      <c r="A232" s="1">
        <v>230</v>
      </c>
      <c r="B232" s="1" t="str">
        <f ca="1">IFERROR(__xludf.DUMMYFUNCTION("GOOGLETRANSLATE(B232, ""en"", ""ko"")"),"홈 활동")</f>
        <v>홈 활동</v>
      </c>
      <c r="C232" s="1">
        <v>5065</v>
      </c>
      <c r="D232" s="1">
        <v>2.2999999999999998</v>
      </c>
      <c r="E232" s="1" t="str">
        <f ca="1">IFERROR(__xludf.DUMMYFUNCTION("GOOGLETRANSLATE(E232, ""en"", ""ko"")"),"카트를 이용하거나 이용하지 않고, 서서 또는 걸어서 쇼핑하는 비식품 쇼핑")</f>
        <v>카트를 이용하거나 이용하지 않고, 서서 또는 걸어서 쇼핑하는 비식품 쇼핑</v>
      </c>
      <c r="M232" s="1"/>
      <c r="O232" s="1"/>
    </row>
    <row r="233" spans="1:15" ht="16.5" customHeight="1">
      <c r="A233" s="1">
        <v>231</v>
      </c>
      <c r="B233" s="1" t="str">
        <f ca="1">IFERROR(__xludf.DUMMYFUNCTION("GOOGLETRANSLATE(B233, ""en"", ""ko"")"),"홈 활동")</f>
        <v>홈 활동</v>
      </c>
      <c r="C233" s="1">
        <v>5070</v>
      </c>
      <c r="D233" s="1">
        <v>1.8</v>
      </c>
      <c r="E233" s="1" t="str">
        <f ca="1">IFERROR(__xludf.DUMMYFUNCTION("GOOGLETRANSLATE(E233, ""en"", ""ko"")"),"다리미질")</f>
        <v>다리미질</v>
      </c>
      <c r="M233" s="1"/>
      <c r="O233" s="1"/>
    </row>
    <row r="234" spans="1:15" ht="16.5" customHeight="1">
      <c r="A234" s="1">
        <v>232</v>
      </c>
      <c r="B234" s="1" t="str">
        <f ca="1">IFERROR(__xludf.DUMMYFUNCTION("GOOGLETRANSLATE(B234, ""en"", ""ko"")"),"홈 활동")</f>
        <v>홈 활동</v>
      </c>
      <c r="C234" s="1">
        <v>5080</v>
      </c>
      <c r="D234" s="1">
        <v>1.3</v>
      </c>
      <c r="E234" s="1" t="str">
        <f ca="1">IFERROR(__xludf.DUMMYFUNCTION("GOOGLETRANSLATE(E234, ""en"", ""ko"")"),"뜨개질, 재봉, 가벼운 노력, 선물 포장, 앉아서")</f>
        <v>뜨개질, 재봉, 가벼운 노력, 선물 포장, 앉아서</v>
      </c>
      <c r="M234" s="1"/>
      <c r="O234" s="1"/>
    </row>
    <row r="235" spans="1:15" ht="16.5" customHeight="1">
      <c r="A235" s="1">
        <v>233</v>
      </c>
      <c r="B235" s="1" t="str">
        <f ca="1">IFERROR(__xludf.DUMMYFUNCTION("GOOGLETRANSLATE(B235, ""en"", ""ko"")"),"홈 활동")</f>
        <v>홈 활동</v>
      </c>
      <c r="C235" s="1">
        <v>5082</v>
      </c>
      <c r="D235" s="1">
        <v>2.8</v>
      </c>
      <c r="E235" s="1" t="str">
        <f ca="1">IFERROR(__xludf.DUMMYFUNCTION("GOOGLETRANSLATE(E235, ""en"", ""ko"")"),"기계로 재봉하다")</f>
        <v>기계로 재봉하다</v>
      </c>
      <c r="M235" s="1"/>
      <c r="O235" s="1"/>
    </row>
    <row r="236" spans="1:15" ht="16.5" customHeight="1">
      <c r="A236" s="1">
        <v>234</v>
      </c>
      <c r="B236" s="1" t="str">
        <f ca="1">IFERROR(__xludf.DUMMYFUNCTION("GOOGLETRANSLATE(B236, ""en"", ""ko"")"),"홈 활동")</f>
        <v>홈 활동</v>
      </c>
      <c r="C236" s="1">
        <v>5090</v>
      </c>
      <c r="D236" s="1">
        <v>2.2999999999999998</v>
      </c>
      <c r="E236" s="1" t="str">
        <f ca="1">IFERROR(__xludf.DUMMYFUNCTION("GOOGLETRANSLATE(E236, ""en"", ""ko"")"),"세탁, 옷 접기 또는 걸기, 세탁기 또는 건조기에 옷 넣기, 가방 싸기, 손으로 옷 세탁, 묵시적 서기,")</f>
        <v>세탁, 옷 접기 또는 걸기, 세탁기 또는 건조기에 옷 넣기, 가방 싸기, 손으로 옷 세탁, 묵시적 서기,</v>
      </c>
      <c r="M236" s="1"/>
      <c r="O236" s="1"/>
    </row>
    <row r="237" spans="1:15" ht="16.5" customHeight="1">
      <c r="A237" s="1">
        <v>235</v>
      </c>
      <c r="B237" s="1" t="str">
        <f ca="1">IFERROR(__xludf.DUMMYFUNCTION("GOOGLETRANSLATE(B237, ""en"", ""ko"")"),"홈 활동")</f>
        <v>홈 활동</v>
      </c>
      <c r="C237" s="1">
        <v>5090</v>
      </c>
      <c r="D237" s="1">
        <v>2.2999999999999998</v>
      </c>
      <c r="E237" s="1" t="str">
        <f ca="1">IFERROR(__xludf.DUMMYFUNCTION("GOOGLETRANSLATE(E237, ""en"", ""ko"")"),"세탁, 옷 접기 또는 걸기, 세탁기 또는 건조기에 옷 넣기, 가방 싸기, 손으로 옷 세탁, 묵시적으로 서 있기, 가벼운 노력")</f>
        <v>세탁, 옷 접기 또는 걸기, 세탁기 또는 건조기에 옷 넣기, 가방 싸기, 손으로 옷 세탁, 묵시적으로 서 있기, 가벼운 노력</v>
      </c>
      <c r="M237" s="1"/>
      <c r="O237" s="1"/>
    </row>
    <row r="238" spans="1:15" ht="16.5" customHeight="1">
      <c r="A238" s="1">
        <v>236</v>
      </c>
      <c r="B238" s="1" t="str">
        <f ca="1">IFERROR(__xludf.DUMMYFUNCTION("GOOGLETRANSLATE(B238, ""en"", ""ko"")"),"홈 활동")</f>
        <v>홈 활동</v>
      </c>
      <c r="C238" s="1">
        <v>5091</v>
      </c>
      <c r="D238" s="1">
        <v>2</v>
      </c>
      <c r="E238" s="1" t="str">
        <f ca="1">IFERROR(__xludf.DUMMYFUNCTION("GOOGLETRANSLATE(E238, ""en"", ""ko"")"),"세탁, 옷 접기 또는 걸기, 앉아서")</f>
        <v>세탁, 옷 접기 또는 걸기, 앉아서</v>
      </c>
      <c r="M238" s="1"/>
      <c r="O238" s="1"/>
    </row>
    <row r="239" spans="1:15" ht="16.5" customHeight="1">
      <c r="A239" s="1">
        <v>237</v>
      </c>
      <c r="B239" s="1" t="str">
        <f ca="1">IFERROR(__xludf.DUMMYFUNCTION("GOOGLETRANSLATE(B239, ""en"", ""ko"")"),"홈 활동")</f>
        <v>홈 활동</v>
      </c>
      <c r="C239" s="1">
        <v>5092</v>
      </c>
      <c r="D239" s="1">
        <v>4</v>
      </c>
      <c r="E239" s="1" t="str">
        <f ca="1">IFERROR(__xludf.DUMMYFUNCTION("GOOGLETRANSLATE(E239, ""en"", ""ko"")"),"세탁, 중간 정도의 노력")</f>
        <v>세탁, 중간 정도의 노력</v>
      </c>
      <c r="M239" s="1"/>
      <c r="O239" s="1"/>
    </row>
    <row r="240" spans="1:15" ht="16.5" customHeight="1">
      <c r="A240" s="1">
        <v>238</v>
      </c>
      <c r="B240" s="1" t="str">
        <f ca="1">IFERROR(__xludf.DUMMYFUNCTION("GOOGLETRANSLATE(B240, ""en"", ""ko"")"),"홈 활동")</f>
        <v>홈 활동</v>
      </c>
      <c r="C240" s="1">
        <v>5095</v>
      </c>
      <c r="D240" s="1">
        <v>2</v>
      </c>
      <c r="E240" s="1" t="str">
        <f ca="1">IFERROR(__xludf.DUMMYFUNCTION("GOOGLETRANSLATE(E240, ""en"", ""ko"")"),"세탁, 옷 정리, 짐 싸기 위한 옷 모으기, 세탁물 정리, 암시적 걷기")</f>
        <v>세탁, 옷 정리, 짐 싸기 위한 옷 모으기, 세탁물 정리, 암시적 걷기</v>
      </c>
      <c r="M240" s="1"/>
      <c r="O240" s="1"/>
    </row>
    <row r="241" spans="1:15" ht="16.5" customHeight="1">
      <c r="A241" s="1">
        <v>239</v>
      </c>
      <c r="B241" s="1" t="str">
        <f ca="1">IFERROR(__xludf.DUMMYFUNCTION("GOOGLETRANSLATE(B241, ""en"", ""ko"")"),"홈 활동")</f>
        <v>홈 활동</v>
      </c>
      <c r="C241" s="1">
        <v>5100</v>
      </c>
      <c r="D241" s="1">
        <v>3</v>
      </c>
      <c r="E241" s="1" t="str">
        <f ca="1">IFERROR(__xludf.DUMMYFUNCTION("GOOGLETRANSLATE(E241, ""en"", ""ko"")"),"침대 정리, 린넨 교체")</f>
        <v>침대 정리, 린넨 교체</v>
      </c>
      <c r="M241" s="1"/>
      <c r="O241" s="1"/>
    </row>
    <row r="242" spans="1:15" ht="16.5" customHeight="1">
      <c r="A242" s="1">
        <v>240</v>
      </c>
      <c r="B242" s="1" t="str">
        <f ca="1">IFERROR(__xludf.DUMMYFUNCTION("GOOGLETRANSLATE(B242, ""en"", ""ko"")"),"홈 활동")</f>
        <v>홈 활동</v>
      </c>
      <c r="C242" s="1">
        <v>5110</v>
      </c>
      <c r="D242" s="1">
        <v>5</v>
      </c>
      <c r="E242" s="1" t="str">
        <f ca="1">IFERROR(__xludf.DUMMYFUNCTION("GOOGLETRANSLATE(E242, ""en"", ""ko"")"),"단풍 시럽 만들기/설탕 담기(양동이 운반, 나무 운반 포함)")</f>
        <v>단풍 시럽 만들기/설탕 담기(양동이 운반, 나무 운반 포함)</v>
      </c>
      <c r="M242" s="1"/>
      <c r="O242" s="1"/>
    </row>
    <row r="243" spans="1:15" ht="16.5" customHeight="1">
      <c r="A243" s="1">
        <v>241</v>
      </c>
      <c r="B243" s="1" t="str">
        <f ca="1">IFERROR(__xludf.DUMMYFUNCTION("GOOGLETRANSLATE(B243, ""en"", ""ko"")"),"홈 활동")</f>
        <v>홈 활동</v>
      </c>
      <c r="C243" s="1">
        <v>5120</v>
      </c>
      <c r="D243" s="1">
        <v>5.8</v>
      </c>
      <c r="E243" s="1" t="str">
        <f ca="1">IFERROR(__xludf.DUMMYFUNCTION("GOOGLETRANSLATE(E243, ""en"", ""ko"")"),"가구, 가정용품 이동, 상자 운반")</f>
        <v>가구, 가정용품 이동, 상자 운반</v>
      </c>
      <c r="M243" s="1"/>
      <c r="O243" s="1"/>
    </row>
    <row r="244" spans="1:15" ht="16.5" customHeight="1">
      <c r="A244" s="1">
        <v>242</v>
      </c>
      <c r="B244" s="1" t="str">
        <f ca="1">IFERROR(__xludf.DUMMYFUNCTION("GOOGLETRANSLATE(B244, ""en"", ""ko"")"),"홈 활동")</f>
        <v>홈 활동</v>
      </c>
      <c r="C244" s="1">
        <v>5121</v>
      </c>
      <c r="D244" s="1">
        <v>5</v>
      </c>
      <c r="E244" s="1" t="str">
        <f ca="1">IFERROR(__xludf.DUMMYFUNCTION("GOOGLETRANSLATE(E244, ""en"", ""ko"")"),"가벼운 짐을 옮기거나 들어올리기")</f>
        <v>가벼운 짐을 옮기거나 들어올리기</v>
      </c>
      <c r="M244" s="1"/>
      <c r="O244" s="1"/>
    </row>
    <row r="245" spans="1:15" ht="16.5" customHeight="1">
      <c r="A245" s="1">
        <v>243</v>
      </c>
      <c r="B245" s="1" t="str">
        <f ca="1">IFERROR(__xludf.DUMMYFUNCTION("GOOGLETRANSLATE(B245, ""en"", ""ko"")"),"홈 활동")</f>
        <v>홈 활동</v>
      </c>
      <c r="C245" s="1">
        <v>5125</v>
      </c>
      <c r="D245" s="1">
        <v>4.8</v>
      </c>
      <c r="E245" s="1" t="str">
        <f ca="1">IFERROR(__xludf.DUMMYFUNCTION("GOOGLETRANSLATE(E245, ""en"", ""ko"")"),"방 정리하기")</f>
        <v>방 정리하기</v>
      </c>
      <c r="M245" s="1"/>
      <c r="O245" s="1"/>
    </row>
    <row r="246" spans="1:15" ht="16.5" customHeight="1">
      <c r="A246" s="1">
        <v>244</v>
      </c>
      <c r="B246" s="1" t="str">
        <f ca="1">IFERROR(__xludf.DUMMYFUNCTION("GOOGLETRANSLATE(B246, ""en"", ""ko"")"),"홈 활동")</f>
        <v>홈 활동</v>
      </c>
      <c r="C246" s="1">
        <v>5130</v>
      </c>
      <c r="D246" s="1">
        <v>3.5</v>
      </c>
      <c r="E246" s="1" t="str">
        <f ca="1">IFERROR(__xludf.DUMMYFUNCTION("GOOGLETRANSLATE(E246, ""en"", ""ko"")"),"바닥 닦기, 손과 무릎으로 닦기, 욕실 닦기, 욕조 닦기, 중간 정도의 노력")</f>
        <v>바닥 닦기, 손과 무릎으로 닦기, 욕실 닦기, 욕조 닦기, 중간 정도의 노력</v>
      </c>
      <c r="M246" s="1"/>
      <c r="O246" s="1"/>
    </row>
    <row r="247" spans="1:15" ht="16.5" customHeight="1">
      <c r="A247" s="1">
        <v>245</v>
      </c>
      <c r="B247" s="1" t="str">
        <f ca="1">IFERROR(__xludf.DUMMYFUNCTION("GOOGLETRANSLATE(B247, ""en"", ""ko"")"),"홈 활동")</f>
        <v>홈 활동</v>
      </c>
      <c r="C247" s="1">
        <v>5131</v>
      </c>
      <c r="D247" s="1">
        <v>2</v>
      </c>
      <c r="E247" s="1" t="str">
        <f ca="1">IFERROR(__xludf.DUMMYFUNCTION("GOOGLETRANSLATE(E247, ""en"", ""ko"")"),"바닥 닦기, 손과 무릎으로 닦기, 욕실 닦기, 욕조 닦기, 가벼운 노력")</f>
        <v>바닥 닦기, 손과 무릎으로 닦기, 욕실 닦기, 욕조 닦기, 가벼운 노력</v>
      </c>
      <c r="M247" s="1"/>
      <c r="O247" s="1"/>
    </row>
    <row r="248" spans="1:15" ht="16.5" customHeight="1">
      <c r="A248" s="1">
        <v>246</v>
      </c>
      <c r="B248" s="1" t="str">
        <f ca="1">IFERROR(__xludf.DUMMYFUNCTION("GOOGLETRANSLATE(B248, ""en"", ""ko"")"),"홈 활동")</f>
        <v>홈 활동</v>
      </c>
      <c r="C248" s="1">
        <v>5132</v>
      </c>
      <c r="D248" s="1">
        <v>6.5</v>
      </c>
      <c r="E248" s="1" t="str">
        <f ca="1">IFERROR(__xludf.DUMMYFUNCTION("GOOGLETRANSLATE(E248, ""en"", ""ko"")"),"바닥 닦기, 손과 무릎으로 닦기, 욕실 닦기, 욕조 닦기, 힘겨운 노력")</f>
        <v>바닥 닦기, 손과 무릎으로 닦기, 욕실 닦기, 욕조 닦기, 힘겨운 노력</v>
      </c>
      <c r="M248" s="1"/>
      <c r="O248" s="1"/>
    </row>
    <row r="249" spans="1:15" ht="16.5" customHeight="1">
      <c r="A249" s="1">
        <v>247</v>
      </c>
      <c r="B249" s="1" t="str">
        <f ca="1">IFERROR(__xludf.DUMMYFUNCTION("GOOGLETRANSLATE(B249, ""en"", ""ko"")"),"홈 활동")</f>
        <v>홈 활동</v>
      </c>
      <c r="C249" s="1">
        <v>5140</v>
      </c>
      <c r="D249" s="1">
        <v>3</v>
      </c>
      <c r="E249" s="1" t="str">
        <f ca="1">IFERROR(__xludf.DUMMYFUNCTION("GOOGLETRANSLATE(E249, ""en"", ""ko"")"),"차고, 보도 또는 집 밖 청소")</f>
        <v>차고, 보도 또는 집 밖 청소</v>
      </c>
      <c r="M249" s="1"/>
      <c r="O249" s="1"/>
    </row>
    <row r="250" spans="1:15" ht="16.5" customHeight="1">
      <c r="A250" s="1">
        <v>248</v>
      </c>
      <c r="B250" s="1" t="str">
        <f ca="1">IFERROR(__xludf.DUMMYFUNCTION("GOOGLETRANSLATE(B250, ""en"", ""ko"")"),"홈 활동")</f>
        <v>홈 활동</v>
      </c>
      <c r="C250" s="1">
        <v>5146</v>
      </c>
      <c r="D250" s="1">
        <v>3.8</v>
      </c>
      <c r="E250" s="1" t="str">
        <f ca="1">IFERROR(__xludf.DUMMYFUNCTION("GOOGLETRANSLATE(E250, ""en"", ""ko"")"),"서서 상자 포장/풀기, 가끔 가벼운 가정용품 들어올리기, 차량에 물건 싣거나 내리기,")</f>
        <v>서서 상자 포장/풀기, 가끔 가벼운 가정용품 들어올리기, 차량에 물건 싣거나 내리기,</v>
      </c>
      <c r="M250" s="1"/>
      <c r="O250" s="1"/>
    </row>
    <row r="251" spans="1:15" ht="16.5" customHeight="1">
      <c r="A251" s="1">
        <v>249</v>
      </c>
      <c r="B251" s="1" t="str">
        <f ca="1">IFERROR(__xludf.DUMMYFUNCTION("GOOGLETRANSLATE(B251, ""en"", ""ko"")"),"홈 활동")</f>
        <v>홈 활동</v>
      </c>
      <c r="C251" s="1">
        <v>5146</v>
      </c>
      <c r="D251" s="1">
        <v>3.8</v>
      </c>
      <c r="E251" s="1" t="str">
        <f ca="1">IFERROR(__xludf.DUMMYFUNCTION("GOOGLETRANSLATE(E251, ""en"", ""ko"")"),"서서 상자 포장/풀기, 가끔 가벼운 가정용품 들어올리기, 차량에 물건 싣거나 내리기, 중간 정도의 노력")</f>
        <v>서서 상자 포장/풀기, 가끔 가벼운 가정용품 들어올리기, 차량에 물건 싣거나 내리기, 중간 정도의 노력</v>
      </c>
      <c r="M251" s="1"/>
      <c r="O251" s="1"/>
    </row>
    <row r="252" spans="1:15" ht="16.5" customHeight="1">
      <c r="A252" s="1">
        <v>250</v>
      </c>
      <c r="B252" s="1" t="str">
        <f ca="1">IFERROR(__xludf.DUMMYFUNCTION("GOOGLETRANSLATE(B252, ""en"", ""ko"")"),"홈 활동")</f>
        <v>홈 활동</v>
      </c>
      <c r="C252" s="1">
        <v>5147</v>
      </c>
      <c r="D252" s="1">
        <v>3</v>
      </c>
      <c r="E252" s="1" t="str">
        <f ca="1">IFERROR(__xludf.DUMMYFUNCTION("GOOGLETRANSLATE(E252, ""en"", ""ko"")"),"암묵적 걷기, 가정용품 정리, 중간 정도의 노력")</f>
        <v>암묵적 걷기, 가정용품 정리, 중간 정도의 노력</v>
      </c>
      <c r="M252" s="1"/>
      <c r="O252" s="1"/>
    </row>
    <row r="253" spans="1:15" ht="16.5" customHeight="1">
      <c r="A253" s="1">
        <v>251</v>
      </c>
      <c r="B253" s="1" t="str">
        <f ca="1">IFERROR(__xludf.DUMMYFUNCTION("GOOGLETRANSLATE(B253, ""en"", ""ko"")"),"홈 활동")</f>
        <v>홈 활동</v>
      </c>
      <c r="C253" s="1">
        <v>5148</v>
      </c>
      <c r="D253" s="1">
        <v>2</v>
      </c>
      <c r="E253" s="1" t="str">
        <f ca="1">IFERROR(__xludf.DUMMYFUNCTION("GOOGLETRANSLATE(E253, ""en"", ""ko"")"),"식물에 물주기")</f>
        <v>식물에 물주기</v>
      </c>
      <c r="M253" s="1"/>
      <c r="O253" s="1"/>
    </row>
    <row r="254" spans="1:15" ht="16.5" customHeight="1">
      <c r="A254" s="1">
        <v>252</v>
      </c>
      <c r="B254" s="1" t="str">
        <f ca="1">IFERROR(__xludf.DUMMYFUNCTION("GOOGLETRANSLATE(B254, ""en"", ""ko"")"),"홈 활동")</f>
        <v>홈 활동</v>
      </c>
      <c r="C254" s="1">
        <v>5149</v>
      </c>
      <c r="D254" s="1">
        <v>2.5</v>
      </c>
      <c r="E254" s="1" t="str">
        <f ca="1">IFERROR(__xludf.DUMMYFUNCTION("GOOGLETRANSLATE(E254, ""en"", ""ko"")"),"실내에서 불을 피우다")</f>
        <v>실내에서 불을 피우다</v>
      </c>
      <c r="M254" s="1"/>
      <c r="O254" s="1"/>
    </row>
    <row r="255" spans="1:15" ht="16.5" customHeight="1">
      <c r="A255" s="1">
        <v>253</v>
      </c>
      <c r="B255" s="1" t="str">
        <f ca="1">IFERROR(__xludf.DUMMYFUNCTION("GOOGLETRANSLATE(B255, ""en"", ""ko"")"),"홈 활동")</f>
        <v>홈 활동</v>
      </c>
      <c r="C255" s="1">
        <v>5150</v>
      </c>
      <c r="D255" s="1">
        <v>9</v>
      </c>
      <c r="E255" s="1" t="str">
        <f ca="1">IFERROR(__xludf.DUMMYFUNCTION("GOOGLETRANSLATE(E255, ""en"", ""ko"")"),"가정용품을 위층으로 옮기거나 상자나 가구를 운반하는 것")</f>
        <v>가정용품을 위층으로 옮기거나 상자나 가구를 운반하는 것</v>
      </c>
      <c r="M255" s="1"/>
      <c r="O255" s="1"/>
    </row>
    <row r="256" spans="1:15" ht="16.5" customHeight="1">
      <c r="A256" s="1">
        <v>254</v>
      </c>
      <c r="B256" s="1" t="str">
        <f ca="1">IFERROR(__xludf.DUMMYFUNCTION("GOOGLETRANSLATE(B256, ""en"", ""ko"")"),"홈 활동")</f>
        <v>홈 활동</v>
      </c>
      <c r="C256" s="1">
        <v>5160</v>
      </c>
      <c r="D256" s="1">
        <v>2</v>
      </c>
      <c r="E256" s="1" t="str">
        <f ca="1">IFERROR(__xludf.DUMMYFUNCTION("GOOGLETRANSLATE(E256, ""en"", ""ko"")"),"서서 가벼운 노력을 기울이는 작업(연료 넣기, 전구 교체 등)")</f>
        <v>서서 가벼운 노력을 기울이는 작업(연료 넣기, 전구 교체 등)</v>
      </c>
      <c r="M256" s="1"/>
      <c r="O256" s="1"/>
    </row>
    <row r="257" spans="1:15" ht="16.5" customHeight="1">
      <c r="A257" s="1">
        <v>255</v>
      </c>
      <c r="B257" s="1" t="str">
        <f ca="1">IFERROR(__xludf.DUMMYFUNCTION("GOOGLETRANSLATE(B257, ""en"", ""ko"")"),"홈 활동")</f>
        <v>홈 활동</v>
      </c>
      <c r="C257" s="1">
        <v>5165</v>
      </c>
      <c r="D257" s="1">
        <v>3.5</v>
      </c>
      <c r="E257" s="1" t="str">
        <f ca="1">IFERROR(__xludf.DUMMYFUNCTION("GOOGLETRANSLATE(E257, ""en"", ""ko"")"),"걷기, 중간 정도의 노력 작업, 청소하지 않기(떠날 준비, 문 닫기/잠그기, 창문 닫기 등)")</f>
        <v>걷기, 중간 정도의 노력 작업, 청소하지 않기(떠날 준비, 문 닫기/잠그기, 창문 닫기 등)</v>
      </c>
      <c r="M257" s="1"/>
      <c r="O257" s="1"/>
    </row>
    <row r="258" spans="1:15" ht="16.5" customHeight="1">
      <c r="A258" s="1">
        <v>256</v>
      </c>
      <c r="B258" s="1" t="str">
        <f ca="1">IFERROR(__xludf.DUMMYFUNCTION("GOOGLETRANSLATE(B258, ""en"", ""ko"")"),"홈 활동")</f>
        <v>홈 활동</v>
      </c>
      <c r="C258" s="1">
        <v>5170</v>
      </c>
      <c r="D258" s="1">
        <v>2.2999999999999998</v>
      </c>
      <c r="E258" s="1" t="str">
        <f ca="1">IFERROR(__xludf.DUMMYFUNCTION("GOOGLETRANSLATE(E258, ""en"", ""ko"")"),"앉아서 아이와 놀기, 가벼운 노력, 활동적인 시간만")</f>
        <v>앉아서 아이와 놀기, 가벼운 노력, 활동적인 시간만</v>
      </c>
      <c r="M258" s="1"/>
      <c r="O258" s="1"/>
    </row>
    <row r="259" spans="1:15" ht="16.5" customHeight="1">
      <c r="A259" s="1">
        <v>257</v>
      </c>
      <c r="B259" s="1" t="str">
        <f ca="1">IFERROR(__xludf.DUMMYFUNCTION("GOOGLETRANSLATE(B259, ""en"", ""ko"")"),"홈 활동")</f>
        <v>홈 활동</v>
      </c>
      <c r="C259" s="1">
        <v>5171</v>
      </c>
      <c r="D259" s="1">
        <v>2.8</v>
      </c>
      <c r="E259" s="1" t="str">
        <f ca="1">IFERROR(__xludf.DUMMYFUNCTION("GOOGLETRANSLATE(E259, ""en"", ""ko"")"),"서서, 아이들과 놀기, 가벼운 노력, 활동적인 시간만 가능")</f>
        <v>서서, 아이들과 놀기, 가벼운 노력, 활동적인 시간만 가능</v>
      </c>
      <c r="M259" s="1"/>
      <c r="O259" s="1"/>
    </row>
    <row r="260" spans="1:15" ht="16.5" customHeight="1">
      <c r="A260" s="1">
        <v>258</v>
      </c>
      <c r="B260" s="1" t="str">
        <f ca="1">IFERROR(__xludf.DUMMYFUNCTION("GOOGLETRANSLATE(B260, ""en"", ""ko"")"),"홈 활동")</f>
        <v>홈 활동</v>
      </c>
      <c r="C260" s="1">
        <v>5175</v>
      </c>
      <c r="D260" s="1">
        <v>3.5</v>
      </c>
      <c r="E260" s="1" t="str">
        <f ca="1">IFERROR(__xludf.DUMMYFUNCTION("GOOGLETRANSLATE(E260, ""en"", ""ko"")"),"걷기/달리기, 아이와 놀기, 중간 정도의 노력, 활동적인 시간만")</f>
        <v>걷기/달리기, 아이와 놀기, 중간 정도의 노력, 활동적인 시간만</v>
      </c>
      <c r="M260" s="1"/>
      <c r="O260" s="1"/>
    </row>
    <row r="261" spans="1:15" ht="16.5" customHeight="1">
      <c r="A261" s="1">
        <v>259</v>
      </c>
      <c r="B261" s="1" t="str">
        <f ca="1">IFERROR(__xludf.DUMMYFUNCTION("GOOGLETRANSLATE(B261, ""en"", ""ko"")"),"홈 활동")</f>
        <v>홈 활동</v>
      </c>
      <c r="C261" s="1">
        <v>5180</v>
      </c>
      <c r="D261" s="1">
        <v>5.8</v>
      </c>
      <c r="E261" s="1" t="str">
        <f ca="1">IFERROR(__xludf.DUMMYFUNCTION("GOOGLETRANSLATE(E261, ""en"", ""ko"")"),"걷기/달리기, 아이와 놀기, 격렬한 노력, 활동적인 기간만")</f>
        <v>걷기/달리기, 아이와 놀기, 격렬한 노력, 활동적인 기간만</v>
      </c>
      <c r="M261" s="1"/>
      <c r="O261" s="1"/>
    </row>
    <row r="262" spans="1:15" ht="16.5" customHeight="1">
      <c r="A262" s="1">
        <v>260</v>
      </c>
      <c r="B262" s="1" t="str">
        <f ca="1">IFERROR(__xludf.DUMMYFUNCTION("GOOGLETRANSLATE(B262, ""en"", ""ko"")"),"홈 활동")</f>
        <v>홈 활동</v>
      </c>
      <c r="C262" s="1">
        <v>5181</v>
      </c>
      <c r="D262" s="1">
        <v>3</v>
      </c>
      <c r="E262" s="1" t="str">
        <f ca="1">IFERROR(__xludf.DUMMYFUNCTION("GOOGLETRANSLATE(E262, ""en"", ""ko"")"),"15poud 이상의 어린이를 산책시키거나 안고 다니는 경우")</f>
        <v>15poud 이상의 어린이를 산책시키거나 안고 다니는 경우</v>
      </c>
      <c r="M262" s="1"/>
      <c r="O262" s="1"/>
    </row>
    <row r="263" spans="1:15" ht="16.5" customHeight="1">
      <c r="A263" s="1">
        <v>261</v>
      </c>
      <c r="B263" s="1" t="str">
        <f ca="1">IFERROR(__xludf.DUMMYFUNCTION("GOOGLETRANSLATE(B263, ""en"", ""ko"")"),"홈 활동")</f>
        <v>홈 활동</v>
      </c>
      <c r="C263" s="1">
        <v>5182</v>
      </c>
      <c r="D263" s="1">
        <v>2.5</v>
      </c>
      <c r="E263" s="1" t="str">
        <f ca="1">IFERROR(__xludf.DUMMYFUNCTION("GOOGLETRANSLATE(E263, ""en"", ""ko"")"),"체중이 15poud 미만인 어린이의 산책 및 운반")</f>
        <v>체중이 15poud 미만인 어린이의 산책 및 운반</v>
      </c>
      <c r="M263" s="1"/>
      <c r="O263" s="1"/>
    </row>
    <row r="264" spans="1:15" ht="16.5" customHeight="1">
      <c r="A264" s="1">
        <v>262</v>
      </c>
      <c r="B264" s="1" t="str">
        <f ca="1">IFERROR(__xludf.DUMMYFUNCTION("GOOGLETRANSLATE(B264, ""en"", ""ko"")"),"홈 활동")</f>
        <v>홈 활동</v>
      </c>
      <c r="C264" s="1">
        <v>5183</v>
      </c>
      <c r="D264" s="1">
        <v>2</v>
      </c>
      <c r="E264" s="1" t="str">
        <f ca="1">IFERROR(__xludf.DUMMYFUNCTION("GOOGLETRANSLATE(E264, ""en"", ""ko"")"),"서서 아이를 안고 있다")</f>
        <v>서서 아이를 안고 있다</v>
      </c>
      <c r="M264" s="1"/>
      <c r="O264" s="1"/>
    </row>
    <row r="265" spans="1:15" ht="16.5" customHeight="1">
      <c r="A265" s="1">
        <v>263</v>
      </c>
      <c r="B265" s="1" t="str">
        <f ca="1">IFERROR(__xludf.DUMMYFUNCTION("GOOGLETRANSLATE(B265, ""en"", ""ko"")"),"홈 활동")</f>
        <v>홈 활동</v>
      </c>
      <c r="C265" s="1">
        <v>5184</v>
      </c>
      <c r="D265" s="1">
        <v>2.5</v>
      </c>
      <c r="E265" s="1" t="str">
        <f ca="1">IFERROR(__xludf.DUMMYFUNCTION("GOOGLETRANSLATE(E265, ""en"", ""ko"")"),"육아, 유아, 일반")</f>
        <v>육아, 유아, 일반</v>
      </c>
      <c r="M265" s="1"/>
      <c r="O265" s="1"/>
    </row>
    <row r="266" spans="1:15" ht="16.5" customHeight="1">
      <c r="A266" s="1">
        <v>264</v>
      </c>
      <c r="B266" s="1" t="str">
        <f ca="1">IFERROR(__xludf.DUMMYFUNCTION("GOOGLETRANSLATE(B266, ""en"", ""ko"")"),"홈 활동")</f>
        <v>홈 활동</v>
      </c>
      <c r="C266" s="1">
        <v>5185</v>
      </c>
      <c r="D266" s="1">
        <v>2</v>
      </c>
      <c r="E266" s="1" t="str">
        <f ca="1">IFERROR(__xludf.DUMMYFUNCTION("GOOGLETRANSLATE(E266, ""en"", ""ko"")"),"아동 돌봄: 앉기 또는 무릎 꿇기, 옷 입기, 목욕, 몸단장, 수유, 가끔씩 아이를 들어올리는 가벼운 노력, 일반적인")</f>
        <v>아동 돌봄: 앉기 또는 무릎 꿇기, 옷 입기, 목욕, 몸단장, 수유, 가끔씩 아이를 들어올리는 가벼운 노력, 일반적인</v>
      </c>
      <c r="M266" s="1"/>
      <c r="O266" s="1"/>
    </row>
    <row r="267" spans="1:15" ht="16.5" customHeight="1">
      <c r="A267" s="1">
        <v>265</v>
      </c>
      <c r="B267" s="1" t="str">
        <f ca="1">IFERROR(__xludf.DUMMYFUNCTION("GOOGLETRANSLATE(B267, ""en"", ""ko"")"),"홈 활동")</f>
        <v>홈 활동</v>
      </c>
      <c r="C267" s="1">
        <v>5186</v>
      </c>
      <c r="D267" s="1">
        <v>3.5</v>
      </c>
      <c r="E267" s="1" t="str">
        <f ca="1">IFERROR(__xludf.DUMMYFUNCTION("GOOGLETRANSLATE(E267, ""en"", ""ko"")"),"아동 돌보기: 서기, 옷 입기, 목욕시키기, 몸단장하기, 먹이기, 가끔 아이를 들어올리기 - 가벼운 노력")</f>
        <v>아동 돌보기: 서기, 옷 입기, 목욕시키기, 몸단장하기, 먹이기, 가끔 아이를 들어올리기 - 가벼운 노력</v>
      </c>
      <c r="M267" s="1"/>
      <c r="O267" s="1"/>
    </row>
    <row r="268" spans="1:15" ht="16.5" customHeight="1">
      <c r="A268" s="1">
        <v>266</v>
      </c>
      <c r="B268" s="1" t="str">
        <f ca="1">IFERROR(__xludf.DUMMYFUNCTION("GOOGLETRANSLATE(B268, ""en"", ""ko"")"),"홈 활동")</f>
        <v>홈 활동</v>
      </c>
      <c r="C268" s="1">
        <v>5188</v>
      </c>
      <c r="D268" s="1">
        <v>1.5</v>
      </c>
      <c r="E268" s="1" t="str">
        <f ca="1">IFERROR(__xludf.DUMMYFUNCTION("GOOGLETRANSLATE(E268, ""en"", ""ko"")"),"아기와 함께 누워서")</f>
        <v>아기와 함께 누워서</v>
      </c>
      <c r="M268" s="1"/>
      <c r="O268" s="1"/>
    </row>
    <row r="269" spans="1:15" ht="16.5" customHeight="1">
      <c r="A269" s="1">
        <v>267</v>
      </c>
      <c r="B269" s="1" t="str">
        <f ca="1">IFERROR(__xludf.DUMMYFUNCTION("GOOGLETRANSLATE(B269, ""en"", ""ko"")"),"홈 활동")</f>
        <v>홈 활동</v>
      </c>
      <c r="C269" s="1">
        <v>5189</v>
      </c>
      <c r="D269" s="1">
        <v>2</v>
      </c>
      <c r="E269" s="1" t="str">
        <f ca="1">IFERROR(__xludf.DUMMYFUNCTION("GOOGLETRANSLATE(E269, ""en"", ""ko"")"),"모유수유, 앉거나 기대어")</f>
        <v>모유수유, 앉거나 기대어</v>
      </c>
      <c r="M269" s="1"/>
      <c r="O269" s="1"/>
    </row>
    <row r="270" spans="1:15" ht="16.5" customHeight="1">
      <c r="A270" s="1">
        <v>268</v>
      </c>
      <c r="B270" s="1" t="str">
        <f ca="1">IFERROR(__xludf.DUMMYFUNCTION("GOOGLETRANSLATE(B270, ""en"", ""ko"")"),"홈 활동")</f>
        <v>홈 활동</v>
      </c>
      <c r="C270" s="1">
        <v>5190</v>
      </c>
      <c r="D270" s="1">
        <v>2.5</v>
      </c>
      <c r="E270" s="1" t="str">
        <f ca="1">IFERROR(__xludf.DUMMYFUNCTION("GOOGLETRANSLATE(E270, ""en"", ""ko"")"),"앉아서 동물들과 놀고, 빛, 활동적인 시간만")</f>
        <v>앉아서 동물들과 놀고, 빛, 활동적인 시간만</v>
      </c>
      <c r="M270" s="1"/>
      <c r="O270" s="1"/>
    </row>
    <row r="271" spans="1:15" ht="16.5" customHeight="1">
      <c r="A271" s="1">
        <v>269</v>
      </c>
      <c r="B271" s="1" t="str">
        <f ca="1">IFERROR(__xludf.DUMMYFUNCTION("GOOGLETRANSLATE(B271, ""en"", ""ko"")"),"홈 활동")</f>
        <v>홈 활동</v>
      </c>
      <c r="C271" s="1">
        <v>5191</v>
      </c>
      <c r="D271" s="1">
        <v>2.8</v>
      </c>
      <c r="E271" s="1" t="str">
        <f ca="1">IFERROR(__xludf.DUMMYFUNCTION("GOOGLETRANSLATE(E271, ""en"", ""ko"")"),"서서, 동물과 놀기, 가벼운 노력, 활동적인 시간만")</f>
        <v>서서, 동물과 놀기, 가벼운 노력, 활동적인 시간만</v>
      </c>
      <c r="M271" s="1"/>
      <c r="O271" s="1"/>
    </row>
    <row r="272" spans="1:15" ht="16.5" customHeight="1">
      <c r="A272" s="1">
        <v>270</v>
      </c>
      <c r="B272" s="1" t="str">
        <f ca="1">IFERROR(__xludf.DUMMYFUNCTION("GOOGLETRANSLATE(B272, ""en"", ""ko"")"),"홈 활동")</f>
        <v>홈 활동</v>
      </c>
      <c r="C272" s="1">
        <v>5192</v>
      </c>
      <c r="D272" s="1">
        <v>2.8</v>
      </c>
      <c r="E272" s="1" t="str">
        <f ca="1">IFERROR(__xludf.DUMMYFUNCTION("GOOGLETRANSLATE(E272, ""en"", ""ko"")"),"걷기 또는 달리기, 동물과 놀기, 일반, 가벼운 노력, 활동적인 기간만")</f>
        <v>걷기 또는 달리기, 동물과 놀기, 일반, 가벼운 노력, 활동적인 기간만</v>
      </c>
      <c r="M272" s="1"/>
      <c r="O272" s="1"/>
    </row>
    <row r="273" spans="1:15" ht="16.5" customHeight="1">
      <c r="A273" s="1">
        <v>271</v>
      </c>
      <c r="B273" s="1" t="str">
        <f ca="1">IFERROR(__xludf.DUMMYFUNCTION("GOOGLETRANSLATE(B273, ""en"", ""ko"")"),"홈 활동")</f>
        <v>홈 활동</v>
      </c>
      <c r="C273" s="1">
        <v>5193</v>
      </c>
      <c r="D273" s="1">
        <v>4</v>
      </c>
      <c r="E273" s="1" t="str">
        <f ca="1">IFERROR(__xludf.DUMMYFUNCTION("GOOGLETRANSLATE(E273, ""en"", ""ko"")"),"걷기/달리기, 동물과 놀기, 중간 정도의 노력, 활동적인 기간만")</f>
        <v>걷기/달리기, 동물과 놀기, 중간 정도의 노력, 활동적인 기간만</v>
      </c>
      <c r="M273" s="1"/>
      <c r="O273" s="1"/>
    </row>
    <row r="274" spans="1:15" ht="16.5" customHeight="1">
      <c r="A274" s="1">
        <v>272</v>
      </c>
      <c r="B274" s="1" t="str">
        <f ca="1">IFERROR(__xludf.DUMMYFUNCTION("GOOGLETRANSLATE(B274, ""en"", ""ko"")"),"홈 활동")</f>
        <v>홈 활동</v>
      </c>
      <c r="C274" s="1">
        <v>5194</v>
      </c>
      <c r="D274" s="1">
        <v>5</v>
      </c>
      <c r="E274" s="1" t="str">
        <f ca="1">IFERROR(__xludf.DUMMYFUNCTION("GOOGLETRANSLATE(E274, ""en"", ""ko"")"),"걷기/달리기, 동물과 놀기, 활발한 노력, 활동적인 기간만")</f>
        <v>걷기/달리기, 동물과 놀기, 활발한 노력, 활동적인 기간만</v>
      </c>
      <c r="M274" s="1"/>
      <c r="O274" s="1"/>
    </row>
    <row r="275" spans="1:15" ht="16.5" customHeight="1">
      <c r="A275" s="1">
        <v>273</v>
      </c>
      <c r="B275" s="1" t="str">
        <f ca="1">IFERROR(__xludf.DUMMYFUNCTION("GOOGLETRANSLATE(B275, ""en"", ""ko"")"),"홈 활동")</f>
        <v>홈 활동</v>
      </c>
      <c r="C275" s="1">
        <v>5195</v>
      </c>
      <c r="D275" s="1">
        <v>3.5</v>
      </c>
      <c r="E275" s="1" t="str">
        <f ca="1">IFERROR(__xludf.DUMMYFUNCTION("GOOGLETRANSLATE(E275, ""en"", ""ko"")"),"서서 목욕하는 개")</f>
        <v>서서 목욕하는 개</v>
      </c>
      <c r="M275" s="1"/>
      <c r="O275" s="1"/>
    </row>
    <row r="276" spans="1:15" ht="16.5" customHeight="1">
      <c r="A276" s="1">
        <v>274</v>
      </c>
      <c r="B276" s="1" t="str">
        <f ca="1">IFERROR(__xludf.DUMMYFUNCTION("GOOGLETRANSLATE(B276, ""en"", ""ko"")"),"홈 활동")</f>
        <v>홈 활동</v>
      </c>
      <c r="C276" s="1">
        <v>5197</v>
      </c>
      <c r="D276" s="1">
        <v>2.2999999999999998</v>
      </c>
      <c r="E276" s="1" t="str">
        <f ca="1">IFERROR(__xludf.DUMMYFUNCTION("GOOGLETRANSLATE(E276, ""en"", ""ko"")"),"동물 관리, 가정용 동물, 일반")</f>
        <v>동물 관리, 가정용 동물, 일반</v>
      </c>
      <c r="M276" s="1"/>
      <c r="O276" s="1"/>
    </row>
    <row r="277" spans="1:15" ht="16.5" customHeight="1">
      <c r="A277" s="1">
        <v>275</v>
      </c>
      <c r="B277" s="1" t="str">
        <f ca="1">IFERROR(__xludf.DUMMYFUNCTION("GOOGLETRANSLATE(B277, ""en"", ""ko"")"),"홈 활동")</f>
        <v>홈 활동</v>
      </c>
      <c r="C277" s="1">
        <v>5200</v>
      </c>
      <c r="D277" s="1">
        <v>3</v>
      </c>
      <c r="E277" s="1" t="str">
        <f ca="1">IFERROR(__xludf.DUMMYFUNCTION("GOOGLETRANSLATE(E277, ""en"", ""ko"")"),"노인 돌봄, 장애인 성인, 목욕, 옷 입기, 침대에서 일어나기, 활동적인 기간만 가능")</f>
        <v>노인 돌봄, 장애인 성인, 목욕, 옷 입기, 침대에서 일어나기, 활동적인 기간만 가능</v>
      </c>
      <c r="M277" s="1"/>
      <c r="O277" s="1"/>
    </row>
    <row r="278" spans="1:15" ht="16.5" customHeight="1">
      <c r="A278" s="1">
        <v>276</v>
      </c>
      <c r="B278" s="1" t="str">
        <f ca="1">IFERROR(__xludf.DUMMYFUNCTION("GOOGLETRANSLATE(B278, ""en"", ""ko"")"),"홈 활동")</f>
        <v>홈 활동</v>
      </c>
      <c r="C278" s="1">
        <v>5205</v>
      </c>
      <c r="D278" s="1">
        <v>1.8</v>
      </c>
      <c r="E278" s="1" t="str">
        <f ca="1">IFERROR(__xludf.DUMMYFUNCTION("GOOGLETRANSLATE(E278, ""en"", ""ko"")"),"노인 돌봄, 장애인, 수유, 머리 빗기, 가벼운 노력, 활동적인 기간만 가능")</f>
        <v>노인 돌봄, 장애인, 수유, 머리 빗기, 가벼운 노력, 활동적인 기간만 가능</v>
      </c>
      <c r="M278" s="1"/>
      <c r="O278" s="1"/>
    </row>
    <row r="279" spans="1:15" ht="16.5" customHeight="1">
      <c r="A279" s="1">
        <v>277</v>
      </c>
      <c r="B279" s="1" t="str">
        <f ca="1">IFERROR(__xludf.DUMMYFUNCTION("GOOGLETRANSLATE(B279, ""en"", ""ko"")"),"홈 활동")</f>
        <v>홈 활동</v>
      </c>
      <c r="C279" s="1">
        <v>5300</v>
      </c>
      <c r="D279" s="1">
        <v>1.3</v>
      </c>
      <c r="E279" s="1" t="str">
        <f ca="1">IFERROR(__xludf.DUMMYFUNCTION("GOOGLETRANSLATE(E279, ""en"", ""ko"")"),"손 씻기")</f>
        <v>손 씻기</v>
      </c>
      <c r="M279" s="1"/>
      <c r="O279" s="1"/>
    </row>
    <row r="280" spans="1:15" ht="16.5" customHeight="1">
      <c r="A280" s="1">
        <v>278</v>
      </c>
      <c r="B280" s="1" t="str">
        <f ca="1">IFERROR(__xludf.DUMMYFUNCTION("GOOGLETRANSLATE(B280, ""en"", ""ko"")"),"집 수리")</f>
        <v>집 수리</v>
      </c>
      <c r="C280" s="1">
        <v>6010</v>
      </c>
      <c r="D280" s="1">
        <v>3</v>
      </c>
      <c r="E280" s="1" t="str">
        <f ca="1">IFERROR(__xludf.DUMMYFUNCTION("GOOGLETRANSLATE(E280, ""en"", ""ko"")"),"비행기 수리")</f>
        <v>비행기 수리</v>
      </c>
      <c r="M280" s="1"/>
      <c r="O280" s="1"/>
    </row>
    <row r="281" spans="1:15" ht="16.5" customHeight="1">
      <c r="A281" s="1">
        <v>279</v>
      </c>
      <c r="B281" s="1" t="str">
        <f ca="1">IFERROR(__xludf.DUMMYFUNCTION("GOOGLETRANSLATE(B281, ""en"", ""ko"")"),"집 수리")</f>
        <v>집 수리</v>
      </c>
      <c r="C281" s="1">
        <v>6020</v>
      </c>
      <c r="D281" s="1">
        <v>4</v>
      </c>
      <c r="E281" s="1" t="str">
        <f ca="1">IFERROR(__xludf.DUMMYFUNCTION("GOOGLETRANSLATE(E281, ""en"", ""ko"")"),"자동차 차체 작업")</f>
        <v>자동차 차체 작업</v>
      </c>
      <c r="M281" s="1"/>
      <c r="O281" s="1"/>
    </row>
    <row r="282" spans="1:15" ht="16.5" customHeight="1">
      <c r="A282" s="1">
        <v>280</v>
      </c>
      <c r="B282" s="1" t="str">
        <f ca="1">IFERROR(__xludf.DUMMYFUNCTION("GOOGLETRANSLATE(B282, ""en"", ""ko"")"),"집 수리")</f>
        <v>집 수리</v>
      </c>
      <c r="C282" s="1">
        <v>6030</v>
      </c>
      <c r="D282" s="1">
        <v>3.3</v>
      </c>
      <c r="E282" s="1" t="str">
        <f ca="1">IFERROR(__xludf.DUMMYFUNCTION("GOOGLETRANSLATE(E282, ""en"", ""ko"")"),"자동차 수리, 가볍거나 중간 정도의 노력")</f>
        <v>자동차 수리, 가볍거나 중간 정도의 노력</v>
      </c>
      <c r="M282" s="1"/>
      <c r="O282" s="1"/>
    </row>
    <row r="283" spans="1:15" ht="16.5" customHeight="1">
      <c r="A283" s="1">
        <v>281</v>
      </c>
      <c r="B283" s="1" t="str">
        <f ca="1">IFERROR(__xludf.DUMMYFUNCTION("GOOGLETRANSLATE(B283, ""en"", ""ko"")"),"집 수리")</f>
        <v>집 수리</v>
      </c>
      <c r="C283" s="1">
        <v>6040</v>
      </c>
      <c r="D283" s="1">
        <v>3</v>
      </c>
      <c r="E283" s="1" t="str">
        <f ca="1">IFERROR(__xludf.DUMMYFUNCTION("GOOGLETRANSLATE(E283, ""en"", ""ko"")"),"목공, 일반, 작업장")</f>
        <v>목공, 일반, 작업장</v>
      </c>
      <c r="M283" s="1"/>
      <c r="O283" s="1"/>
    </row>
    <row r="284" spans="1:15" ht="16.5" customHeight="1">
      <c r="A284" s="1">
        <v>282</v>
      </c>
      <c r="B284" s="1" t="str">
        <f ca="1">IFERROR(__xludf.DUMMYFUNCTION("GOOGLETRANSLATE(B284, ""en"", ""ko"")"),"집 수리")</f>
        <v>집 수리</v>
      </c>
      <c r="C284" s="1">
        <v>6050</v>
      </c>
      <c r="D284" s="1">
        <v>6</v>
      </c>
      <c r="E284" s="1" t="str">
        <f ca="1">IFERROR(__xludf.DUMMYFUNCTION("GOOGLETRANSLATE(E284, ""en"", ""ko"")"),"목공, 주택 외부")</f>
        <v>목공, 주택 외부</v>
      </c>
      <c r="M284" s="1"/>
      <c r="O284" s="1"/>
    </row>
    <row r="285" spans="1:15" ht="16.5" customHeight="1">
      <c r="A285" s="1">
        <v>283</v>
      </c>
      <c r="B285" s="1" t="str">
        <f ca="1">IFERROR(__xludf.DUMMYFUNCTION("GOOGLETRANSLATE(B285, ""en"", ""ko"")"),"집 수리")</f>
        <v>집 수리</v>
      </c>
      <c r="C285" s="1">
        <v>6052</v>
      </c>
      <c r="D285" s="1">
        <v>3.8</v>
      </c>
      <c r="E285" s="1" t="str">
        <f ca="1">IFERROR(__xludf.DUMMYFUNCTION("GOOGLETRANSLATE(E285, ""en"", ""ko"")"),"목공, 집 밖, 울타리 만들기")</f>
        <v>목공, 집 밖, 울타리 만들기</v>
      </c>
      <c r="M285" s="1"/>
      <c r="O285" s="1"/>
    </row>
    <row r="286" spans="1:15" ht="16.5" customHeight="1">
      <c r="A286" s="1">
        <v>284</v>
      </c>
      <c r="B286" s="1" t="str">
        <f ca="1">IFERROR(__xludf.DUMMYFUNCTION("GOOGLETRANSLATE(B286, ""en"", ""ko"")"),"집 수리")</f>
        <v>집 수리</v>
      </c>
      <c r="C286" s="1">
        <v>6060</v>
      </c>
      <c r="D286" s="1">
        <v>3.3</v>
      </c>
      <c r="E286" s="1" t="str">
        <f ca="1">IFERROR(__xludf.DUMMYFUNCTION("GOOGLETRANSLATE(E286, ""en"", ""ko"")"),"목공, 마감, 바니싱 또는 캐비닛이나 가구 재마감")</f>
        <v>목공, 마감, 바니싱 또는 캐비닛이나 가구 재마감</v>
      </c>
      <c r="M286" s="1"/>
      <c r="O286" s="1"/>
    </row>
    <row r="287" spans="1:15" ht="16.5" customHeight="1">
      <c r="A287" s="1">
        <v>285</v>
      </c>
      <c r="B287" s="1" t="str">
        <f ca="1">IFERROR(__xludf.DUMMYFUNCTION("GOOGLETRANSLATE(B287, ""en"", ""ko"")"),"집 수리")</f>
        <v>집 수리</v>
      </c>
      <c r="C287" s="1">
        <v>6070</v>
      </c>
      <c r="D287" s="1">
        <v>6</v>
      </c>
      <c r="E287" s="1" t="str">
        <f ca="1">IFERROR(__xludf.DUMMYFUNCTION("GOOGLETRANSLATE(E287, ""en"", ""ko"")"),"목공, 단단한 나무 톱질, 목재 깎기 및 드릴링, 중간 정도에서 강렬한 노력")</f>
        <v>목공, 단단한 나무 톱질, 목재 깎기 및 드릴링, 중간 정도에서 강렬한 노력</v>
      </c>
      <c r="M287" s="1"/>
      <c r="O287" s="1"/>
    </row>
    <row r="288" spans="1:15" ht="16.5" customHeight="1">
      <c r="A288" s="1">
        <v>286</v>
      </c>
      <c r="B288" s="1" t="str">
        <f ca="1">IFERROR(__xludf.DUMMYFUNCTION("GOOGLETRANSLATE(B288, ""en"", ""ko"")"),"집 수리")</f>
        <v>집 수리</v>
      </c>
      <c r="C288" s="1">
        <v>6072</v>
      </c>
      <c r="D288" s="1">
        <v>4</v>
      </c>
      <c r="E288" s="1" t="str">
        <f ca="1">IFERROR(__xludf.DUMMYFUNCTION("GOOGLETRANSLATE(E288, ""en"", ""ko"")"),"목공, 주택 리모델링 작업, 중간 정도의 노력")</f>
        <v>목공, 주택 리모델링 작업, 중간 정도의 노력</v>
      </c>
      <c r="M288" s="1"/>
      <c r="O288" s="1"/>
    </row>
    <row r="289" spans="1:15" ht="16.5" customHeight="1">
      <c r="A289" s="1">
        <v>287</v>
      </c>
      <c r="B289" s="1" t="str">
        <f ca="1">IFERROR(__xludf.DUMMYFUNCTION("GOOGLETRANSLATE(B289, ""en"", ""ko"")"),"집 수리")</f>
        <v>집 수리</v>
      </c>
      <c r="C289" s="1">
        <v>6074</v>
      </c>
      <c r="D289" s="1">
        <v>2.2999999999999998</v>
      </c>
      <c r="E289" s="1" t="str">
        <f ca="1">IFERROR(__xludf.DUMMYFUNCTION("GOOGLETRANSLATE(E289, ""en"", ""ko"")"),"목공, 주택 리모델링 작업, 가벼운 노력")</f>
        <v>목공, 주택 리모델링 작업, 가벼운 노력</v>
      </c>
      <c r="M289" s="1"/>
      <c r="O289" s="1"/>
    </row>
    <row r="290" spans="1:15" ht="16.5" customHeight="1">
      <c r="A290" s="1">
        <v>288</v>
      </c>
      <c r="B290" s="1" t="str">
        <f ca="1">IFERROR(__xludf.DUMMYFUNCTION("GOOGLETRANSLATE(B290, ""en"", ""ko"")"),"집 수리")</f>
        <v>집 수리</v>
      </c>
      <c r="C290" s="1">
        <v>6080</v>
      </c>
      <c r="D290" s="1">
        <v>5</v>
      </c>
      <c r="E290" s="1" t="str">
        <f ca="1">IFERROR(__xludf.DUMMYFUNCTION("GOOGLETRANSLATE(E290, ""en"", ""ko"")"),"통나무집 코킹, 틈새 메우기")</f>
        <v>통나무집 코킹, 틈새 메우기</v>
      </c>
      <c r="M290" s="1"/>
      <c r="O290" s="1"/>
    </row>
    <row r="291" spans="1:15" ht="16.5" customHeight="1">
      <c r="A291" s="1">
        <v>289</v>
      </c>
      <c r="B291" s="1" t="str">
        <f ca="1">IFERROR(__xludf.DUMMYFUNCTION("GOOGLETRANSLATE(B291, ""en"", ""ko"")"),"집 수리")</f>
        <v>집 수리</v>
      </c>
      <c r="C291" s="1">
        <v>6090</v>
      </c>
      <c r="D291" s="1">
        <v>4.5</v>
      </c>
      <c r="E291" s="1" t="str">
        <f ca="1">IFERROR(__xludf.DUMMYFUNCTION("GOOGLETRANSLATE(E291, ""en"", ""ko"")"),"통나무집을 제외한 코킹")</f>
        <v>통나무집을 제외한 코킹</v>
      </c>
      <c r="M291" s="1"/>
      <c r="O291" s="1"/>
    </row>
    <row r="292" spans="1:15" ht="16.5" customHeight="1">
      <c r="A292" s="1">
        <v>290</v>
      </c>
      <c r="B292" s="1" t="str">
        <f ca="1">IFERROR(__xludf.DUMMYFUNCTION("GOOGLETRANSLATE(B292, ""en"", ""ko"")"),"집 수리")</f>
        <v>집 수리</v>
      </c>
      <c r="C292" s="1">
        <v>6100</v>
      </c>
      <c r="D292" s="1">
        <v>5</v>
      </c>
      <c r="E292" s="1" t="str">
        <f ca="1">IFERROR(__xludf.DUMMYFUNCTION("GOOGLETRANSLATE(E292, ""en"", ""ko"")"),"홈통 청소")</f>
        <v>홈통 청소</v>
      </c>
      <c r="M292" s="1"/>
      <c r="O292" s="1"/>
    </row>
    <row r="293" spans="1:15" ht="16.5" customHeight="1">
      <c r="A293" s="1">
        <v>291</v>
      </c>
      <c r="B293" s="1" t="str">
        <f ca="1">IFERROR(__xludf.DUMMYFUNCTION("GOOGLETRANSLATE(B293, ""en"", ""ko"")"),"집 수리")</f>
        <v>집 수리</v>
      </c>
      <c r="C293" s="1">
        <v>6110</v>
      </c>
      <c r="D293" s="1">
        <v>5</v>
      </c>
      <c r="E293" s="1" t="str">
        <f ca="1">IFERROR(__xludf.DUMMYFUNCTION("GOOGLETRANSLATE(E293, ""en"", ""ko"")"),"차고 발굴")</f>
        <v>차고 발굴</v>
      </c>
      <c r="M293" s="1"/>
      <c r="O293" s="1"/>
    </row>
    <row r="294" spans="1:15" ht="16.5" customHeight="1">
      <c r="A294" s="1">
        <v>292</v>
      </c>
      <c r="B294" s="1" t="str">
        <f ca="1">IFERROR(__xludf.DUMMYFUNCTION("GOOGLETRANSLATE(B294, ""en"", ""ko"")"),"집 수리")</f>
        <v>집 수리</v>
      </c>
      <c r="C294" s="1">
        <v>6120</v>
      </c>
      <c r="D294" s="1">
        <v>5</v>
      </c>
      <c r="E294" s="1" t="str">
        <f ca="1">IFERROR(__xludf.DUMMYFUNCTION("GOOGLETRANSLATE(E294, ""en"", ""ko"")"),"매달린 폭풍창")</f>
        <v>매달린 폭풍창</v>
      </c>
      <c r="M294" s="1"/>
      <c r="O294" s="1"/>
    </row>
    <row r="295" spans="1:15" ht="16.5" customHeight="1">
      <c r="A295" s="1">
        <v>293</v>
      </c>
      <c r="B295" s="1" t="str">
        <f ca="1">IFERROR(__xludf.DUMMYFUNCTION("GOOGLETRANSLATE(B295, ""en"", ""ko"")"),"집 수리")</f>
        <v>집 수리</v>
      </c>
      <c r="C295" s="1">
        <v>6122</v>
      </c>
      <c r="D295" s="1">
        <v>5</v>
      </c>
      <c r="E295" s="1" t="str">
        <f ca="1">IFERROR(__xludf.DUMMYFUNCTION("GOOGLETRANSLATE(E295, ""en"", ""ko"")"),"집 안에 석고보드 걸기")</f>
        <v>집 안에 석고보드 걸기</v>
      </c>
      <c r="M295" s="1"/>
      <c r="O295" s="1"/>
    </row>
    <row r="296" spans="1:15" ht="16.5" customHeight="1">
      <c r="A296" s="1">
        <v>294</v>
      </c>
      <c r="B296" s="1" t="str">
        <f ca="1">IFERROR(__xludf.DUMMYFUNCTION("GOOGLETRANSLATE(B296, ""en"", ""ko"")"),"집 수리")</f>
        <v>집 수리</v>
      </c>
      <c r="C296" s="1">
        <v>6124</v>
      </c>
      <c r="D296" s="1">
        <v>3</v>
      </c>
      <c r="E296" s="1" t="str">
        <f ca="1">IFERROR(__xludf.DUMMYFUNCTION("GOOGLETRANSLATE(E296, ""en"", ""ko"")"),"못을 박다")</f>
        <v>못을 박다</v>
      </c>
      <c r="M296" s="1"/>
      <c r="O296" s="1"/>
    </row>
    <row r="297" spans="1:15" ht="16.5" customHeight="1">
      <c r="A297" s="1">
        <v>295</v>
      </c>
      <c r="B297" s="1" t="str">
        <f ca="1">IFERROR(__xludf.DUMMYFUNCTION("GOOGLETRANSLATE(B297, ""en"", ""ko"")"),"집 수리")</f>
        <v>집 수리</v>
      </c>
      <c r="C297" s="1">
        <v>6126</v>
      </c>
      <c r="D297" s="1">
        <v>2.5</v>
      </c>
      <c r="E297" s="1" t="str">
        <f ca="1">IFERROR(__xludf.DUMMYFUNCTION("GOOGLETRANSLATE(E297, ""en"", ""ko"")"),"집 수리, 일반, 가벼운 노력")</f>
        <v>집 수리, 일반, 가벼운 노력</v>
      </c>
      <c r="M297" s="1"/>
      <c r="O297" s="1"/>
    </row>
    <row r="298" spans="1:15" ht="16.5" customHeight="1">
      <c r="A298" s="1">
        <v>296</v>
      </c>
      <c r="B298" s="1" t="str">
        <f ca="1">IFERROR(__xludf.DUMMYFUNCTION("GOOGLETRANSLATE(B298, ""en"", ""ko"")"),"집 수리")</f>
        <v>집 수리</v>
      </c>
      <c r="C298" s="1">
        <v>6127</v>
      </c>
      <c r="D298" s="1">
        <v>4.5</v>
      </c>
      <c r="E298" s="1" t="str">
        <f ca="1">IFERROR(__xludf.DUMMYFUNCTION("GOOGLETRANSLATE(E298, ""en"", ""ko"")"),"집 수리, 일반, 중간 노력")</f>
        <v>집 수리, 일반, 중간 노력</v>
      </c>
      <c r="M298" s="1"/>
      <c r="O298" s="1"/>
    </row>
    <row r="299" spans="1:15" ht="16.5" customHeight="1">
      <c r="A299" s="1">
        <v>297</v>
      </c>
      <c r="B299" s="1" t="str">
        <f ca="1">IFERROR(__xludf.DUMMYFUNCTION("GOOGLETRANSLATE(B299, ""en"", ""ko"")"),"집 수리")</f>
        <v>집 수리</v>
      </c>
      <c r="C299" s="1">
        <v>6128</v>
      </c>
      <c r="D299" s="1">
        <v>6</v>
      </c>
      <c r="E299" s="1" t="str">
        <f ca="1">IFERROR(__xludf.DUMMYFUNCTION("GOOGLETRANSLATE(E299, ""en"", ""ko"")"),"집 수리, 일반, 정력적 노력")</f>
        <v>집 수리, 일반, 정력적 노력</v>
      </c>
      <c r="M299" s="1"/>
      <c r="O299" s="1"/>
    </row>
    <row r="300" spans="1:15" ht="16.5" customHeight="1">
      <c r="A300" s="1">
        <v>298</v>
      </c>
      <c r="B300" s="1" t="str">
        <f ca="1">IFERROR(__xludf.DUMMYFUNCTION("GOOGLETRANSLATE(B300, ""en"", ""ko"")"),"집 수리")</f>
        <v>집 수리</v>
      </c>
      <c r="C300" s="1">
        <v>6130</v>
      </c>
      <c r="D300" s="1">
        <v>4.5</v>
      </c>
      <c r="E300" s="1" t="str">
        <f ca="1">IFERROR(__xludf.DUMMYFUNCTION("GOOGLETRANSLATE(E300, ""en"", ""ko"")"),"카펫 깔기 또는 제거하기")</f>
        <v>카펫 깔기 또는 제거하기</v>
      </c>
      <c r="M300" s="1"/>
      <c r="O300" s="1"/>
    </row>
    <row r="301" spans="1:15" ht="16.5" customHeight="1">
      <c r="A301" s="1">
        <v>299</v>
      </c>
      <c r="B301" s="1" t="str">
        <f ca="1">IFERROR(__xludf.DUMMYFUNCTION("GOOGLETRANSLATE(B301, ""en"", ""ko"")"),"집 수리")</f>
        <v>집 수리</v>
      </c>
      <c r="C301" s="1">
        <v>6140</v>
      </c>
      <c r="D301" s="1">
        <v>3.8</v>
      </c>
      <c r="E301" s="1" t="str">
        <f ca="1">IFERROR(__xludf.DUMMYFUNCTION("GOOGLETRANSLATE(E301, ""en"", ""ko"")"),"타일이나 리놀륨 깔기")</f>
        <v>타일이나 리놀륨 깔기</v>
      </c>
      <c r="M301" s="1"/>
      <c r="O301" s="1"/>
    </row>
    <row r="302" spans="1:15" ht="16.5" customHeight="1">
      <c r="A302" s="1">
        <v>300</v>
      </c>
      <c r="B302" s="1" t="str">
        <f ca="1">IFERROR(__xludf.DUMMYFUNCTION("GOOGLETRANSLATE(B302, ""en"", ""ko"")"),"집 수리")</f>
        <v>집 수리</v>
      </c>
      <c r="C302" s="1">
        <v>6144</v>
      </c>
      <c r="D302" s="1">
        <v>3</v>
      </c>
      <c r="E302" s="1" t="str">
        <f ca="1">IFERROR(__xludf.DUMMYFUNCTION("GOOGLETRANSLATE(E302, ""en"", ""ko"")"),"가전제품 수리")</f>
        <v>가전제품 수리</v>
      </c>
      <c r="M302" s="1"/>
      <c r="O302" s="1"/>
    </row>
    <row r="303" spans="1:15" ht="16.5" customHeight="1">
      <c r="A303" s="1">
        <v>301</v>
      </c>
      <c r="B303" s="1" t="str">
        <f ca="1">IFERROR(__xludf.DUMMYFUNCTION("GOOGLETRANSLATE(B303, ""en"", ""ko"")"),"집 수리")</f>
        <v>집 수리</v>
      </c>
      <c r="C303" s="1">
        <v>6150</v>
      </c>
      <c r="D303" s="1">
        <v>5</v>
      </c>
      <c r="E303" s="1" t="str">
        <f ca="1">IFERROR(__xludf.DUMMYFUNCTION("GOOGLETRANSLATE(E303, ""en"", ""ko"")"),"집 밖에서의 페인팅")</f>
        <v>집 밖에서의 페인팅</v>
      </c>
      <c r="M303" s="1"/>
      <c r="O303" s="1"/>
    </row>
    <row r="304" spans="1:15" ht="16.5" customHeight="1">
      <c r="A304" s="1">
        <v>302</v>
      </c>
      <c r="B304" s="1" t="str">
        <f ca="1">IFERROR(__xludf.DUMMYFUNCTION("GOOGLETRANSLATE(B304, ""en"", ""ko"")"),"집 수리")</f>
        <v>집 수리</v>
      </c>
      <c r="C304" s="1">
        <v>6160</v>
      </c>
      <c r="D304" s="1">
        <v>3.3</v>
      </c>
      <c r="E304" s="1" t="str">
        <f ca="1">IFERROR(__xludf.DUMMYFUNCTION("GOOGLETRANSLATE(E304, ""en"", ""ko"")"),"집 내부 페인팅, 벽지 붙이기, 페인트 긁어내기")</f>
        <v>집 내부 페인팅, 벽지 붙이기, 페인트 긁어내기</v>
      </c>
      <c r="M304" s="1"/>
      <c r="O304" s="1"/>
    </row>
    <row r="305" spans="1:15" ht="16.5" customHeight="1">
      <c r="A305" s="1">
        <v>303</v>
      </c>
      <c r="B305" s="1" t="str">
        <f ca="1">IFERROR(__xludf.DUMMYFUNCTION("GOOGLETRANSLATE(B305, ""en"", ""ko"")"),"집 수리")</f>
        <v>집 수리</v>
      </c>
      <c r="C305" s="1">
        <v>6165</v>
      </c>
      <c r="D305" s="1">
        <v>4.5</v>
      </c>
      <c r="E305" s="1" t="str">
        <f ca="1">IFERROR(__xludf.DUMMYFUNCTION("GOOGLETRANSLATE(E305, ""en"", ""ko"")"),"페인팅")</f>
        <v>페인팅</v>
      </c>
      <c r="M305" s="1"/>
      <c r="O305" s="1"/>
    </row>
    <row r="306" spans="1:15" ht="16.5" customHeight="1">
      <c r="A306" s="1">
        <v>304</v>
      </c>
      <c r="B306" s="1" t="str">
        <f ca="1">IFERROR(__xludf.DUMMYFUNCTION("GOOGLETRANSLATE(B306, ""en"", ""ko"")"),"집 수리")</f>
        <v>집 수리</v>
      </c>
      <c r="C306" s="1">
        <v>6167</v>
      </c>
      <c r="D306" s="1">
        <v>3</v>
      </c>
      <c r="E306" s="1" t="str">
        <f ca="1">IFERROR(__xludf.DUMMYFUNCTION("GOOGLETRANSLATE(E306, ""en"", ""ko"")"),"배관, 일반")</f>
        <v>배관, 일반</v>
      </c>
      <c r="M306" s="1"/>
      <c r="O306" s="1"/>
    </row>
    <row r="307" spans="1:15" ht="16.5" customHeight="1">
      <c r="A307" s="1">
        <v>305</v>
      </c>
      <c r="B307" s="1" t="str">
        <f ca="1">IFERROR(__xludf.DUMMYFUNCTION("GOOGLETRANSLATE(B307, ""en"", ""ko"")"),"집 수리")</f>
        <v>집 수리</v>
      </c>
      <c r="C307" s="1">
        <v>6170</v>
      </c>
      <c r="D307" s="1">
        <v>3</v>
      </c>
      <c r="E307" s="1" t="str">
        <f ca="1">IFERROR(__xludf.DUMMYFUNCTION("GOOGLETRANSLATE(E307, ""en"", ""ko"")"),"타프 착용 및 제거 범선")</f>
        <v>타프 착용 및 제거 범선</v>
      </c>
      <c r="M307" s="1"/>
      <c r="O307" s="1"/>
    </row>
    <row r="308" spans="1:15" ht="16.5" customHeight="1">
      <c r="A308" s="1">
        <v>306</v>
      </c>
      <c r="B308" s="1" t="str">
        <f ca="1">IFERROR(__xludf.DUMMYFUNCTION("GOOGLETRANSLATE(B308, ""en"", ""ko"")"),"집 수리")</f>
        <v>집 수리</v>
      </c>
      <c r="C308" s="1">
        <v>6180</v>
      </c>
      <c r="D308" s="1">
        <v>6</v>
      </c>
      <c r="E308" s="1" t="str">
        <f ca="1">IFERROR(__xludf.DUMMYFUNCTION("GOOGLETRANSLATE(E308, ""en"", ""ko"")"),"지붕 이기")</f>
        <v>지붕 이기</v>
      </c>
      <c r="M308" s="1"/>
      <c r="O308" s="1"/>
    </row>
    <row r="309" spans="1:15" ht="16.5" customHeight="1">
      <c r="A309" s="1">
        <v>307</v>
      </c>
      <c r="B309" s="1" t="str">
        <f ca="1">IFERROR(__xludf.DUMMYFUNCTION("GOOGLETRANSLATE(B309, ""en"", ""ko"")"),"집 수리")</f>
        <v>집 수리</v>
      </c>
      <c r="C309" s="1">
        <v>6190</v>
      </c>
      <c r="D309" s="1">
        <v>4.5</v>
      </c>
      <c r="E309" s="1" t="str">
        <f ca="1">IFERROR(__xludf.DUMMYFUNCTION("GOOGLETRANSLATE(E309, ""en"", ""ko"")"),"전동 샌더로 바닥 연마")</f>
        <v>전동 샌더로 바닥 연마</v>
      </c>
      <c r="M309" s="1"/>
      <c r="O309" s="1"/>
    </row>
    <row r="310" spans="1:15" ht="16.5" customHeight="1">
      <c r="A310" s="1">
        <v>308</v>
      </c>
      <c r="B310" s="1" t="str">
        <f ca="1">IFERROR(__xludf.DUMMYFUNCTION("GOOGLETRANSLATE(B310, ""en"", ""ko"")"),"집 수리")</f>
        <v>집 수리</v>
      </c>
      <c r="C310" s="1">
        <v>6200</v>
      </c>
      <c r="D310" s="1">
        <v>4.5</v>
      </c>
      <c r="E310" s="1" t="str">
        <f ca="1">IFERROR(__xludf.DUMMYFUNCTION("GOOGLETRANSLATE(E310, ""en"", ""ko"")"),"범선이나 모터보트 긁어내기 및 페인팅")</f>
        <v>범선이나 모터보트 긁어내기 및 페인팅</v>
      </c>
      <c r="M310" s="1"/>
      <c r="O310" s="1"/>
    </row>
    <row r="311" spans="1:15" ht="16.5" customHeight="1">
      <c r="A311" s="1">
        <v>309</v>
      </c>
      <c r="B311" s="1" t="str">
        <f ca="1">IFERROR(__xludf.DUMMYFUNCTION("GOOGLETRANSLATE(B311, ""en"", ""ko"")"),"집 수리")</f>
        <v>집 수리</v>
      </c>
      <c r="C311" s="1">
        <v>6205</v>
      </c>
      <c r="D311" s="1">
        <v>2</v>
      </c>
      <c r="E311" s="1" t="str">
        <f ca="1">IFERROR(__xludf.DUMMYFUNCTION("GOOGLETRANSLATE(E311, ""en"", ""ko"")"),"도구 날카롭게 하기")</f>
        <v>도구 날카롭게 하기</v>
      </c>
      <c r="M311" s="1"/>
      <c r="O311" s="1"/>
    </row>
    <row r="312" spans="1:15" ht="16.5" customHeight="1">
      <c r="A312" s="1">
        <v>310</v>
      </c>
      <c r="B312" s="1" t="str">
        <f ca="1">IFERROR(__xludf.DUMMYFUNCTION("GOOGLETRANSLATE(B312, ""en"", ""ko"")"),"집 수리")</f>
        <v>집 수리</v>
      </c>
      <c r="C312" s="1">
        <v>6210</v>
      </c>
      <c r="D312" s="1">
        <v>5</v>
      </c>
      <c r="E312" s="1" t="str">
        <f ca="1">IFERROR(__xludf.DUMMYFUNCTION("GOOGLETRANSLATE(E312, ""en"", ""ko"")"),"삽으로 흙을 퍼뜨리다")</f>
        <v>삽으로 흙을 퍼뜨리다</v>
      </c>
      <c r="M312" s="1"/>
      <c r="O312" s="1"/>
    </row>
    <row r="313" spans="1:15" ht="16.5" customHeight="1">
      <c r="A313" s="1">
        <v>311</v>
      </c>
      <c r="B313" s="1" t="str">
        <f ca="1">IFERROR(__xludf.DUMMYFUNCTION("GOOGLETRANSLATE(B313, ""en"", ""ko"")"),"집 수리")</f>
        <v>집 수리</v>
      </c>
      <c r="C313" s="1">
        <v>6220</v>
      </c>
      <c r="D313" s="1">
        <v>4.5</v>
      </c>
      <c r="E313" s="1" t="str">
        <f ca="1">IFERROR(__xludf.DUMMYFUNCTION("GOOGLETRANSLATE(E313, ""en"", ""ko"")"),"범선이나 비행기의 선체 세척 및 왁싱")</f>
        <v>범선이나 비행기의 선체 세척 및 왁싱</v>
      </c>
      <c r="M313" s="1"/>
      <c r="O313" s="1"/>
    </row>
    <row r="314" spans="1:15" ht="16.5" customHeight="1">
      <c r="A314" s="1">
        <v>312</v>
      </c>
      <c r="B314" s="1" t="str">
        <f ca="1">IFERROR(__xludf.DUMMYFUNCTION("GOOGLETRANSLATE(B314, ""en"", ""ko"")"),"집 수리")</f>
        <v>집 수리</v>
      </c>
      <c r="C314" s="1">
        <v>6225</v>
      </c>
      <c r="D314" s="1">
        <v>2</v>
      </c>
      <c r="E314" s="1" t="str">
        <f ca="1">IFERROR(__xludf.DUMMYFUNCTION("GOOGLETRANSLATE(E314, ""en"", ""ko"")"),"세차 및 왁싱")</f>
        <v>세차 및 왁싱</v>
      </c>
      <c r="M314" s="1"/>
      <c r="O314" s="1"/>
    </row>
    <row r="315" spans="1:15" ht="16.5" customHeight="1">
      <c r="A315" s="1">
        <v>313</v>
      </c>
      <c r="B315" s="1" t="str">
        <f ca="1">IFERROR(__xludf.DUMMYFUNCTION("GOOGLETRANSLATE(B315, ""en"", ""ko"")"),"집 수리")</f>
        <v>집 수리</v>
      </c>
      <c r="C315" s="1">
        <v>6230</v>
      </c>
      <c r="D315" s="1">
        <v>4.5</v>
      </c>
      <c r="E315" s="1" t="str">
        <f ca="1">IFERROR(__xludf.DUMMYFUNCTION("GOOGLETRANSLATE(E315, ""en"", ""ko"")"),"울타리 세척, 울타리 페인팅, 중간 정도의 노력")</f>
        <v>울타리 세척, 울타리 페인팅, 중간 정도의 노력</v>
      </c>
      <c r="M315" s="1"/>
      <c r="O315" s="1"/>
    </row>
    <row r="316" spans="1:15" ht="16.5" customHeight="1">
      <c r="A316" s="1">
        <v>314</v>
      </c>
      <c r="B316" s="1" t="str">
        <f ca="1">IFERROR(__xludf.DUMMYFUNCTION("GOOGLETRANSLATE(B316, ""en"", ""ko"")"),"집 수리")</f>
        <v>집 수리</v>
      </c>
      <c r="C316" s="1">
        <v>6240</v>
      </c>
      <c r="D316" s="1">
        <v>3.3</v>
      </c>
      <c r="E316" s="1" t="str">
        <f ca="1">IFERROR(__xludf.DUMMYFUNCTION("GOOGLETRANSLATE(E316, ""en"", ""ko"")"),"배선, 태핑-스플라이싱")</f>
        <v>배선, 태핑-스플라이싱</v>
      </c>
      <c r="M316" s="1"/>
      <c r="O316" s="1"/>
    </row>
    <row r="317" spans="1:15" ht="16.5" customHeight="1">
      <c r="A317" s="1">
        <v>315</v>
      </c>
      <c r="B317" s="1" t="str">
        <f ca="1">IFERROR(__xludf.DUMMYFUNCTION("GOOGLETRANSLATE(B317, ""en"", ""ko"")"),"비활성")</f>
        <v>비활성</v>
      </c>
      <c r="C317" s="1">
        <v>7009</v>
      </c>
      <c r="D317" s="1">
        <v>1</v>
      </c>
      <c r="E317" s="1" t="str">
        <f ca="1">IFERROR(__xludf.DUMMYFUNCTION("GOOGLETRANSLATE(E317, ""en"", ""ko"")"),"조용히 누워서 텔레비전을 보다")</f>
        <v>조용히 누워서 텔레비전을 보다</v>
      </c>
      <c r="M317" s="1"/>
      <c r="O317" s="1"/>
    </row>
    <row r="318" spans="1:15" ht="16.5" customHeight="1">
      <c r="A318" s="1">
        <v>316</v>
      </c>
      <c r="B318" s="1" t="str">
        <f ca="1">IFERROR(__xludf.DUMMYFUNCTION("GOOGLETRANSLATE(B318, ""en"", ""ko"")"),"비활성")</f>
        <v>비활성</v>
      </c>
      <c r="C318" s="1">
        <v>7011</v>
      </c>
      <c r="D318" s="1">
        <v>1</v>
      </c>
      <c r="E318" s="1" t="str">
        <f ca="1">IFERROR(__xludf.DUMMYFUNCTION("GOOGLETRANSLATE(E318, ""en"", ""ko"")"),"조용히 누워서 아무것도 하지 않고, 침대에 누워서 깨어 있고, 음악을 듣고 있습니다(말하거나 책을 읽지 않고).")</f>
        <v>조용히 누워서 아무것도 하지 않고, 침대에 누워서 깨어 있고, 음악을 듣고 있습니다(말하거나 책을 읽지 않고).</v>
      </c>
      <c r="M318" s="1"/>
      <c r="O318" s="1"/>
    </row>
    <row r="319" spans="1:15" ht="16.5" customHeight="1">
      <c r="A319" s="1">
        <v>317</v>
      </c>
      <c r="B319" s="1" t="str">
        <f ca="1">IFERROR(__xludf.DUMMYFUNCTION("GOOGLETRANSLATE(B319, ""en"", ""ko"")"),"비활성")</f>
        <v>비활성</v>
      </c>
      <c r="C319" s="1">
        <v>7020</v>
      </c>
      <c r="D319" s="1">
        <v>1</v>
      </c>
      <c r="E319" s="1" t="str">
        <f ca="1">IFERROR(__xludf.DUMMYFUNCTION("GOOGLETRANSLATE(E319, ""en"", ""ko"")"),"앉아서 텔레비전을 보세요")</f>
        <v>앉아서 텔레비전을 보세요</v>
      </c>
      <c r="M319" s="1"/>
      <c r="O319" s="1"/>
    </row>
    <row r="320" spans="1:15" ht="16.5" customHeight="1">
      <c r="A320" s="1">
        <v>318</v>
      </c>
      <c r="B320" s="1" t="str">
        <f ca="1">IFERROR(__xludf.DUMMYFUNCTION("GOOGLETRANSLATE(B320, ""en"", ""ko"")"),"비활성")</f>
        <v>비활성</v>
      </c>
      <c r="C320" s="1">
        <v>7021</v>
      </c>
      <c r="D320" s="1">
        <v>1</v>
      </c>
      <c r="E320" s="1" t="str">
        <f ca="1">IFERROR(__xludf.DUMMYFUNCTION("GOOGLETRANSLATE(E320, ""en"", ""ko"")"),"조용히 앉아, 장군")</f>
        <v>조용히 앉아, 장군</v>
      </c>
      <c r="M320" s="1"/>
      <c r="O320" s="1"/>
    </row>
    <row r="321" spans="1:15" ht="16.5" customHeight="1">
      <c r="A321" s="1">
        <v>319</v>
      </c>
      <c r="B321" s="1" t="str">
        <f ca="1">IFERROR(__xludf.DUMMYFUNCTION("GOOGLETRANSLATE(B321, ""en"", ""ko"")"),"비활성")</f>
        <v>비활성</v>
      </c>
      <c r="C321" s="1">
        <v>7022</v>
      </c>
      <c r="D321" s="1">
        <v>1.5</v>
      </c>
      <c r="E321" s="1" t="str">
        <f ca="1">IFERROR(__xludf.DUMMYFUNCTION("GOOGLETRANSLATE(E321, ""en"", ""ko"")"),"조용히 앉아, 몸을 꿈틀거리며, 일반적으로, 손을 꿈틀거림")</f>
        <v>조용히 앉아, 몸을 꿈틀거리며, 일반적으로, 손을 꿈틀거림</v>
      </c>
      <c r="M321" s="1"/>
      <c r="O321" s="1"/>
    </row>
    <row r="322" spans="1:15" ht="16.5" customHeight="1">
      <c r="A322" s="1">
        <v>320</v>
      </c>
      <c r="B322" s="1" t="str">
        <f ca="1">IFERROR(__xludf.DUMMYFUNCTION("GOOGLETRANSLATE(B322, ""en"", ""ko"")"),"비활성")</f>
        <v>비활성</v>
      </c>
      <c r="C322" s="1">
        <v>7023</v>
      </c>
      <c r="D322" s="1">
        <v>1.8</v>
      </c>
      <c r="E322" s="1" t="str">
        <f ca="1">IFERROR(__xludf.DUMMYFUNCTION("GOOGLETRANSLATE(E322, ""en"", ""ko"")"),"앉아서 발을 꼼지락거리며")</f>
        <v>앉아서 발을 꼼지락거리며</v>
      </c>
      <c r="M322" s="1"/>
      <c r="O322" s="1"/>
    </row>
    <row r="323" spans="1:15" ht="16.5" customHeight="1">
      <c r="A323" s="1">
        <v>321</v>
      </c>
      <c r="B323" s="1" t="str">
        <f ca="1">IFERROR(__xludf.DUMMYFUNCTION("GOOGLETRANSLATE(B323, ""en"", ""ko"")"),"비활성")</f>
        <v>비활성</v>
      </c>
      <c r="C323" s="1">
        <v>7024</v>
      </c>
      <c r="D323" s="1">
        <v>1.3</v>
      </c>
      <c r="E323" s="1" t="str">
        <f ca="1">IFERROR(__xludf.DUMMYFUNCTION("GOOGLETRANSLATE(E323, ""en"", ""ko"")"),"앉아서 담배 피우기")</f>
        <v>앉아서 담배 피우기</v>
      </c>
      <c r="M323" s="1"/>
      <c r="O323" s="1"/>
    </row>
    <row r="324" spans="1:15" ht="16.5" customHeight="1">
      <c r="A324" s="1">
        <v>322</v>
      </c>
      <c r="B324" s="1" t="str">
        <f ca="1">IFERROR(__xludf.DUMMYFUNCTION("GOOGLETRANSLATE(B324, ""en"", ""ko"")"),"비활성")</f>
        <v>비활성</v>
      </c>
      <c r="C324" s="1">
        <v>7025</v>
      </c>
      <c r="D324" s="1">
        <v>1.5</v>
      </c>
      <c r="E324" s="1" t="str">
        <f ca="1">IFERROR(__xludf.DUMMYFUNCTION("GOOGLETRANSLATE(E324, ""en"", ""ko"")"),"앉아서 음악을 듣거나(말하거나 책을 읽는 것이 아님) 극장에서 영화를 보는 것")</f>
        <v>앉아서 음악을 듣거나(말하거나 책을 읽는 것이 아님) 극장에서 영화를 보는 것</v>
      </c>
      <c r="M324" s="1"/>
      <c r="O324" s="1"/>
    </row>
    <row r="325" spans="1:15" ht="16.5" customHeight="1">
      <c r="A325" s="1">
        <v>323</v>
      </c>
      <c r="B325" s="1" t="str">
        <f ca="1">IFERROR(__xludf.DUMMYFUNCTION("GOOGLETRANSLATE(B325, ""en"", ""ko"")"),"비활성")</f>
        <v>비활성</v>
      </c>
      <c r="C325" s="1">
        <v>7026</v>
      </c>
      <c r="D325" s="1">
        <v>1.3</v>
      </c>
      <c r="E325" s="1" t="str">
        <f ca="1">IFERROR(__xludf.DUMMYFUNCTION("GOOGLETRANSLATE(E325, ""en"", ""ko"")"),"책상에 앉아 머리를 손에 얹고")</f>
        <v>책상에 앉아 머리를 손에 얹고</v>
      </c>
      <c r="M325" s="1"/>
      <c r="O325" s="1"/>
    </row>
    <row r="326" spans="1:15" ht="16.5" customHeight="1">
      <c r="A326" s="1">
        <v>324</v>
      </c>
      <c r="B326" s="1" t="str">
        <f ca="1">IFERROR(__xludf.DUMMYFUNCTION("GOOGLETRANSLATE(B326, ""en"", ""ko"")"),"비활성")</f>
        <v>비활성</v>
      </c>
      <c r="C326" s="1">
        <v>7030</v>
      </c>
      <c r="D326" s="1">
        <v>1</v>
      </c>
      <c r="E326" s="1" t="str">
        <f ca="1">IFERROR(__xludf.DUMMYFUNCTION("GOOGLETRANSLATE(E326, ""en"", ""ko"")"),"자고 있는")</f>
        <v>자고 있는</v>
      </c>
      <c r="M326" s="1"/>
      <c r="O326" s="1"/>
    </row>
    <row r="327" spans="1:15" ht="16.5" customHeight="1">
      <c r="A327" s="1">
        <v>325</v>
      </c>
      <c r="B327" s="1" t="str">
        <f ca="1">IFERROR(__xludf.DUMMYFUNCTION("GOOGLETRANSLATE(B327, ""en"", ""ko"")"),"비활성")</f>
        <v>비활성</v>
      </c>
      <c r="C327" s="1">
        <v>7040</v>
      </c>
      <c r="D327" s="1">
        <v>1.3</v>
      </c>
      <c r="E327" s="1" t="str">
        <f ca="1">IFERROR(__xludf.DUMMYFUNCTION("GOOGLETRANSLATE(E327, ""en"", ""ko"")"),"조용히 서 있다(줄을 서서)")</f>
        <v>조용히 서 있다(줄을 서서)</v>
      </c>
      <c r="M327" s="1"/>
      <c r="O327" s="1"/>
    </row>
    <row r="328" spans="1:15" ht="16.5" customHeight="1">
      <c r="A328" s="1">
        <v>326</v>
      </c>
      <c r="B328" s="1" t="str">
        <f ca="1">IFERROR(__xludf.DUMMYFUNCTION("GOOGLETRANSLATE(B328, ""en"", ""ko"")"),"비활성")</f>
        <v>비활성</v>
      </c>
      <c r="C328" s="1">
        <v>7041</v>
      </c>
      <c r="D328" s="1">
        <v>1.5</v>
      </c>
      <c r="E328" s="1" t="str">
        <f ca="1">IFERROR(__xludf.DUMMYFUNCTION("GOOGLETRANSLATE(E328, ""en"", ""ko"")"),"서 있음 (꼼지락거림)")</f>
        <v>서 있음 (꼼지락거림)</v>
      </c>
      <c r="M328" s="1"/>
      <c r="O328" s="1"/>
    </row>
    <row r="329" spans="1:15" ht="16.5" customHeight="1">
      <c r="A329" s="1">
        <v>327</v>
      </c>
      <c r="B329" s="1" t="str">
        <f ca="1">IFERROR(__xludf.DUMMYFUNCTION("GOOGLETRANSLATE(B329, ""en"", ""ko"")"),"비활성")</f>
        <v>비활성</v>
      </c>
      <c r="C329" s="1">
        <v>7045</v>
      </c>
      <c r="D329" s="1">
        <v>1.3</v>
      </c>
      <c r="E329" s="1" t="str">
        <f ca="1">IFERROR(__xludf.DUMMYFUNCTION("GOOGLETRANSLATE(E329, ""en"", ""ko"")"),"서서 텔레비전을 보다")</f>
        <v>서서 텔레비전을 보다</v>
      </c>
      <c r="M329" s="1"/>
      <c r="O329" s="1"/>
    </row>
    <row r="330" spans="1:15" ht="16.5" customHeight="1">
      <c r="A330" s="1">
        <v>328</v>
      </c>
      <c r="B330" s="1" t="str">
        <f ca="1">IFERROR(__xludf.DUMMYFUNCTION("GOOGLETRANSLATE(B330, ""en"", ""ko"")"),"비활성")</f>
        <v>비활성</v>
      </c>
      <c r="C330" s="1">
        <v>7050</v>
      </c>
      <c r="D330" s="1">
        <v>1.5</v>
      </c>
      <c r="E330" s="1" t="str">
        <f ca="1">IFERROR(__xludf.DUMMYFUNCTION("GOOGLETRANSLATE(E330, ""en"", ""ko"")"),"누워서 글쓰기")</f>
        <v>누워서 글쓰기</v>
      </c>
      <c r="M330" s="1"/>
      <c r="O330" s="1"/>
    </row>
    <row r="331" spans="1:15" ht="16.5" customHeight="1">
      <c r="A331" s="1">
        <v>329</v>
      </c>
      <c r="B331" s="1" t="str">
        <f ca="1">IFERROR(__xludf.DUMMYFUNCTION("GOOGLETRANSLATE(B331, ""en"", ""ko"")"),"비활성")</f>
        <v>비활성</v>
      </c>
      <c r="C331" s="1">
        <v>7060</v>
      </c>
      <c r="D331" s="1">
        <v>1.3</v>
      </c>
      <c r="E331" s="1" t="str">
        <f ca="1">IFERROR(__xludf.DUMMYFUNCTION("GOOGLETRANSLATE(E331, ""en"", ""ko"")"),"기대어 앉거나, 통화하거나, 전화 통화")</f>
        <v>기대어 앉거나, 통화하거나, 전화 통화</v>
      </c>
      <c r="M331" s="1"/>
      <c r="O331" s="1"/>
    </row>
    <row r="332" spans="1:15" ht="16.5" customHeight="1">
      <c r="A332" s="1">
        <v>330</v>
      </c>
      <c r="B332" s="1" t="str">
        <f ca="1">IFERROR(__xludf.DUMMYFUNCTION("GOOGLETRANSLATE(B332, ""en"", ""ko"")"),"비활성")</f>
        <v>비활성</v>
      </c>
      <c r="C332" s="1">
        <v>7070</v>
      </c>
      <c r="D332" s="1">
        <v>1.3</v>
      </c>
      <c r="E332" s="1" t="str">
        <f ca="1">IFERROR(__xludf.DUMMYFUNCTION("GOOGLETRANSLATE(E332, ""en"", ""ko"")"),"누워서 독서하기")</f>
        <v>누워서 독서하기</v>
      </c>
      <c r="M332" s="1"/>
      <c r="O332" s="1"/>
    </row>
    <row r="333" spans="1:15" ht="16.5" customHeight="1">
      <c r="A333" s="1">
        <v>331</v>
      </c>
      <c r="B333" s="1" t="str">
        <f ca="1">IFERROR(__xludf.DUMMYFUNCTION("GOOGLETRANSLATE(B333, ""en"", ""ko"")"),"비활성")</f>
        <v>비활성</v>
      </c>
      <c r="C333" s="1">
        <v>7075</v>
      </c>
      <c r="D333" s="1">
        <v>1</v>
      </c>
      <c r="E333" s="1" t="str">
        <f ca="1">IFERROR(__xludf.DUMMYFUNCTION("GOOGLETRANSLATE(E333, ""en"", ""ko"")"),"명상")</f>
        <v>명상</v>
      </c>
      <c r="M333" s="1"/>
      <c r="O333" s="1"/>
    </row>
    <row r="334" spans="1:15" ht="16.5" customHeight="1">
      <c r="A334" s="1">
        <v>332</v>
      </c>
      <c r="B334" s="1" t="str">
        <f ca="1">IFERROR(__xludf.DUMMYFUNCTION("GOOGLETRANSLATE(B334, ""en"", ""ko"")"),"잔디밭 및 정원")</f>
        <v>잔디밭 및 정원</v>
      </c>
      <c r="C334" s="1">
        <v>8009</v>
      </c>
      <c r="D334" s="1">
        <v>4.0999999999999996</v>
      </c>
      <c r="E334" s="1" t="str">
        <f ca="1">IFERROR(__xludf.DUMMYFUNCTION("GOOGLETRANSLATE(E334, ""en"", ""ko"")"),"목재 운반, 적재 또는 적재, 목재 적재/하역 또는 운반, 가볍거나 중간 정도의 노력")</f>
        <v>목재 운반, 적재 또는 적재, 목재 적재/하역 또는 운반, 가볍거나 중간 정도의 노력</v>
      </c>
      <c r="M334" s="1"/>
      <c r="O334" s="1"/>
    </row>
    <row r="335" spans="1:15" ht="16.5" customHeight="1">
      <c r="A335" s="1">
        <v>333</v>
      </c>
      <c r="B335" s="1" t="str">
        <f ca="1">IFERROR(__xludf.DUMMYFUNCTION("GOOGLETRANSLATE(B335, ""en"", ""ko"")"),"잔디밭 및 정원")</f>
        <v>잔디밭 및 정원</v>
      </c>
      <c r="C335" s="1">
        <v>8010</v>
      </c>
      <c r="D335" s="1">
        <v>5.5</v>
      </c>
      <c r="E335" s="1" t="str">
        <f ca="1">IFERROR(__xludf.DUMMYFUNCTION("GOOGLETRANSLATE(E335, ""en"", ""ko"")"),"목재 운반, 적재 또는 적재, 목재 적재/하역 또는 운반, 중간 정도의 노력")</f>
        <v>목재 운반, 적재 또는 적재, 목재 적재/하역 또는 운반, 중간 정도의 노력</v>
      </c>
      <c r="M335" s="1"/>
      <c r="O335" s="1"/>
    </row>
    <row r="336" spans="1:15" ht="16.5" customHeight="1">
      <c r="A336" s="1">
        <v>334</v>
      </c>
      <c r="B336" s="1" t="str">
        <f ca="1">IFERROR(__xludf.DUMMYFUNCTION("GOOGLETRANSLATE(B336, ""en"", ""ko"")"),"잔디밭 및 정원")</f>
        <v>잔디밭 및 정원</v>
      </c>
      <c r="C336" s="1">
        <v>8019</v>
      </c>
      <c r="D336" s="1">
        <v>4.5</v>
      </c>
      <c r="E336" s="1" t="str">
        <f ca="1">IFERROR(__xludf.DUMMYFUNCTION("GOOGLETRANSLATE(E336, ""en"", ""ko"")"),"나무 자르기, 통나무 쪼개기, 적당한 노력")</f>
        <v>나무 자르기, 통나무 쪼개기, 적당한 노력</v>
      </c>
      <c r="M336" s="1"/>
      <c r="O336" s="1"/>
    </row>
    <row r="337" spans="1:15" ht="16.5" customHeight="1">
      <c r="A337" s="1">
        <v>335</v>
      </c>
      <c r="B337" s="1" t="str">
        <f ca="1">IFERROR(__xludf.DUMMYFUNCTION("GOOGLETRANSLATE(B337, ""en"", ""ko"")"),"잔디밭 및 정원")</f>
        <v>잔디밭 및 정원</v>
      </c>
      <c r="C337" s="1">
        <v>8020</v>
      </c>
      <c r="D337" s="1">
        <v>6.5</v>
      </c>
      <c r="E337" s="1" t="str">
        <f ca="1">IFERROR(__xludf.DUMMYFUNCTION("GOOGLETRANSLATE(E337, ""en"", ""ko"")"),"나무를 자르고, 통나무를 쪼개고, 힘차게 노력하다")</f>
        <v>나무를 자르고, 통나무를 쪼개고, 힘차게 노력하다</v>
      </c>
      <c r="M337" s="1"/>
      <c r="O337" s="1"/>
    </row>
    <row r="338" spans="1:15" ht="16.5" customHeight="1">
      <c r="A338" s="1">
        <v>336</v>
      </c>
      <c r="B338" s="1" t="str">
        <f ca="1">IFERROR(__xludf.DUMMYFUNCTION("GOOGLETRANSLATE(B338, ""en"", ""ko"")"),"잔디밭 및 정원")</f>
        <v>잔디밭 및 정원</v>
      </c>
      <c r="C338" s="1">
        <v>8025</v>
      </c>
      <c r="D338" s="1">
        <v>3.5</v>
      </c>
      <c r="E338" s="1" t="str">
        <f ca="1">IFERROR(__xludf.DUMMYFUNCTION("GOOGLETRANSLATE(E338, ""en"", ""ko"")"),"가벼운 덤불 치우기, 정원 솎기, 적당한 노력")</f>
        <v>가벼운 덤불 치우기, 정원 솎기, 적당한 노력</v>
      </c>
      <c r="M338" s="1"/>
      <c r="O338" s="1"/>
    </row>
    <row r="339" spans="1:15" ht="16.5" customHeight="1">
      <c r="A339" s="1">
        <v>337</v>
      </c>
      <c r="B339" s="1" t="str">
        <f ca="1">IFERROR(__xludf.DUMMYFUNCTION("GOOGLETRANSLATE(B339, ""en"", ""ko"")"),"잔디밭 및 정원")</f>
        <v>잔디밭 및 정원</v>
      </c>
      <c r="C339" s="1">
        <v>8030</v>
      </c>
      <c r="D339" s="1">
        <v>6.3</v>
      </c>
      <c r="E339" s="1" t="str">
        <f ca="1">IFERROR(__xludf.DUMMYFUNCTION("GOOGLETRANSLATE(E339, ""en"", ""ko"")"),"토지 개간, 덤불, 덤불 또는 땅 끌기, 강력한 노력")</f>
        <v>토지 개간, 덤불, 덤불 또는 땅 끌기, 강력한 노력</v>
      </c>
      <c r="M339" s="1"/>
      <c r="O339" s="1"/>
    </row>
    <row r="340" spans="1:15" ht="16.5" customHeight="1">
      <c r="A340" s="1">
        <v>338</v>
      </c>
      <c r="B340" s="1" t="str">
        <f ca="1">IFERROR(__xludf.DUMMYFUNCTION("GOOGLETRANSLATE(B340, ""en"", ""ko"")"),"잔디밭 및 정원")</f>
        <v>잔디밭 및 정원</v>
      </c>
      <c r="C340" s="1">
        <v>8040</v>
      </c>
      <c r="D340" s="1">
        <v>5</v>
      </c>
      <c r="E340" s="1" t="str">
        <f ca="1">IFERROR(__xludf.DUMMYFUNCTION("GOOGLETRANSLATE(E340, ""en"", ""ko"")"),"모래상자 파기, 모래 삽질")</f>
        <v>모래상자 파기, 모래 삽질</v>
      </c>
      <c r="M340" s="1"/>
      <c r="O340" s="1"/>
    </row>
    <row r="341" spans="1:15" ht="16.5" customHeight="1">
      <c r="A341" s="1">
        <v>339</v>
      </c>
      <c r="B341" s="1" t="str">
        <f ca="1">IFERROR(__xludf.DUMMYFUNCTION("GOOGLETRANSLATE(B341, ""en"", ""ko"")"),"잔디밭 및 정원")</f>
        <v>잔디밭 및 정원</v>
      </c>
      <c r="C341" s="1">
        <v>8045</v>
      </c>
      <c r="D341" s="1">
        <v>3.5</v>
      </c>
      <c r="E341" s="1" t="str">
        <f ca="1">IFERROR(__xludf.DUMMYFUNCTION("GOOGLETRANSLATE(E341, ""en"", ""ko"")"),"파기, 삽질, 정원 채우기, 퇴비화, 가볍거나 보통의 노력")</f>
        <v>파기, 삽질, 정원 채우기, 퇴비화, 가볍거나 보통의 노력</v>
      </c>
      <c r="M341" s="1"/>
      <c r="O341" s="1"/>
    </row>
    <row r="342" spans="1:15" ht="16.5" customHeight="1">
      <c r="A342" s="1">
        <v>340</v>
      </c>
      <c r="B342" s="1" t="str">
        <f ca="1">IFERROR(__xludf.DUMMYFUNCTION("GOOGLETRANSLATE(B342, ""en"", ""ko"")"),"잔디밭 및 정원")</f>
        <v>잔디밭 및 정원</v>
      </c>
      <c r="C342" s="1">
        <v>8050</v>
      </c>
      <c r="D342" s="1">
        <v>5</v>
      </c>
      <c r="E342" s="1" t="str">
        <f ca="1">IFERROR(__xludf.DUMMYFUNCTION("GOOGLETRANSLATE(E342, ""en"", ""ko"")"),"파기, 삽질, 정원 채우기, 퇴비화")</f>
        <v>파기, 삽질, 정원 채우기, 퇴비화</v>
      </c>
      <c r="M342" s="1"/>
      <c r="O342" s="1"/>
    </row>
    <row r="343" spans="1:15" ht="16.5" customHeight="1">
      <c r="A343" s="1">
        <v>341</v>
      </c>
      <c r="B343" s="1" t="str">
        <f ca="1">IFERROR(__xludf.DUMMYFUNCTION("GOOGLETRANSLATE(B343, ""en"", ""ko"")"),"잔디밭 및 정원")</f>
        <v>잔디밭 및 정원</v>
      </c>
      <c r="C343" s="1">
        <v>8052</v>
      </c>
      <c r="D343" s="1">
        <v>7.3</v>
      </c>
      <c r="E343" s="1" t="str">
        <f ca="1">IFERROR(__xludf.DUMMYFUNCTION("GOOGLETRANSLATE(E343, ""en"", ""ko"")"),"파기, 삽질, 정원 채우기, 퇴비화, 힘찬 노력")</f>
        <v>파기, 삽질, 정원 채우기, 퇴비화, 힘찬 노력</v>
      </c>
      <c r="M343" s="1"/>
      <c r="O343" s="1"/>
    </row>
    <row r="344" spans="1:15" ht="16.5" customHeight="1">
      <c r="A344" s="1">
        <v>342</v>
      </c>
      <c r="B344" s="1" t="str">
        <f ca="1">IFERROR(__xludf.DUMMYFUNCTION("GOOGLETRANSLATE(B344, ""en"", ""ko"")"),"잔디밭 및 정원")</f>
        <v>잔디밭 및 정원</v>
      </c>
      <c r="C344" s="1">
        <v>8055</v>
      </c>
      <c r="D344" s="1">
        <v>2.8</v>
      </c>
      <c r="E344" s="1" t="str">
        <f ca="1">IFERROR(__xludf.DUMMYFUNCTION("GOOGLETRANSLATE(E344, ""en"", ""ko"")"),"트랙터 운전")</f>
        <v>트랙터 운전</v>
      </c>
      <c r="M344" s="1"/>
      <c r="O344" s="1"/>
    </row>
    <row r="345" spans="1:15" ht="16.5" customHeight="1">
      <c r="A345" s="1">
        <v>343</v>
      </c>
      <c r="B345" s="1" t="str">
        <f ca="1">IFERROR(__xludf.DUMMYFUNCTION("GOOGLETRANSLATE(B345, ""en"", ""ko"")"),"잔디밭 및 정원")</f>
        <v>잔디밭 및 정원</v>
      </c>
      <c r="C345" s="1">
        <v>8057</v>
      </c>
      <c r="D345" s="1">
        <v>8.3000000000000007</v>
      </c>
      <c r="E345" s="1" t="str">
        <f ca="1">IFERROR(__xludf.DUMMYFUNCTION("GOOGLETRANSLATE(E345, ""en"", ""ko"")"),"대형 나무 벌목")</f>
        <v>대형 나무 벌목</v>
      </c>
      <c r="M345" s="1"/>
      <c r="O345" s="1"/>
    </row>
    <row r="346" spans="1:15" ht="16.5" customHeight="1">
      <c r="A346" s="1">
        <v>344</v>
      </c>
      <c r="B346" s="1" t="str">
        <f ca="1">IFERROR(__xludf.DUMMYFUNCTION("GOOGLETRANSLATE(B346, ""en"", ""ko"")"),"잔디밭 및 정원")</f>
        <v>잔디밭 및 정원</v>
      </c>
      <c r="C346" s="1">
        <v>8058</v>
      </c>
      <c r="D346" s="1">
        <v>5.3</v>
      </c>
      <c r="E346" s="1" t="str">
        <f ca="1">IFERROR(__xludf.DUMMYFUNCTION("GOOGLETRANSLATE(E346, ""en"", ""ko"")"),"나무 베기, 소형-중형")</f>
        <v>나무 베기, 소형-중형</v>
      </c>
      <c r="M346" s="1"/>
      <c r="O346" s="1"/>
    </row>
    <row r="347" spans="1:15" ht="16.5" customHeight="1">
      <c r="A347" s="1">
        <v>345</v>
      </c>
      <c r="B347" s="1" t="str">
        <f ca="1">IFERROR(__xludf.DUMMYFUNCTION("GOOGLETRANSLATE(B347, ""en"", ""ko"")"),"잔디밭 및 정원")</f>
        <v>잔디밭 및 정원</v>
      </c>
      <c r="C347" s="1">
        <v>8060</v>
      </c>
      <c r="D347" s="1">
        <v>5.8</v>
      </c>
      <c r="E347" s="1" t="str">
        <f ca="1">IFERROR(__xludf.DUMMYFUNCTION("GOOGLETRANSLATE(E347, ""en"", ""ko"")"),"무거운 전동 공구를 사용한 원예 작업, 사슬톱 사용, 정원 경작")</f>
        <v>무거운 전동 공구를 사용한 원예 작업, 사슬톱 사용, 정원 경작</v>
      </c>
      <c r="M347" s="1"/>
      <c r="O347" s="1"/>
    </row>
    <row r="348" spans="1:15" ht="16.5" customHeight="1">
      <c r="A348" s="1">
        <v>346</v>
      </c>
      <c r="B348" s="1" t="str">
        <f ca="1">IFERROR(__xludf.DUMMYFUNCTION("GOOGLETRANSLATE(B348, ""en"", ""ko"")"),"잔디밭 및 정원")</f>
        <v>잔디밭 및 정원</v>
      </c>
      <c r="C348" s="1">
        <v>8066</v>
      </c>
      <c r="D348" s="1">
        <v>2</v>
      </c>
      <c r="E348" s="1" t="str">
        <f ca="1">IFERROR(__xludf.DUMMYFUNCTION("GOOGLETRANSLATE(E348, ""en"", ""ko"")"),"원예, 일반")</f>
        <v>원예, 일반</v>
      </c>
      <c r="M348" s="1"/>
      <c r="O348" s="1"/>
    </row>
    <row r="349" spans="1:15" ht="16.5" customHeight="1">
      <c r="A349" s="1">
        <v>347</v>
      </c>
      <c r="B349" s="1" t="str">
        <f ca="1">IFERROR(__xludf.DUMMYFUNCTION("GOOGLETRANSLATE(B349, ""en"", ""ko"")"),"잔디밭 및 정원")</f>
        <v>잔디밭 및 정원</v>
      </c>
      <c r="C349" s="1">
        <v>8070</v>
      </c>
      <c r="D349" s="1">
        <v>4</v>
      </c>
      <c r="E349" s="1" t="str">
        <f ca="1">IFERROR(__xludf.DUMMYFUNCTION("GOOGLETRANSLATE(E349, ""en"", ""ko"")"),"관개 수로, 개폐구")</f>
        <v>관개 수로, 개폐구</v>
      </c>
      <c r="M349" s="1"/>
      <c r="O349" s="1"/>
    </row>
    <row r="350" spans="1:15" ht="16.5" customHeight="1">
      <c r="A350" s="1">
        <v>348</v>
      </c>
      <c r="B350" s="1" t="str">
        <f ca="1">IFERROR(__xludf.DUMMYFUNCTION("GOOGLETRANSLATE(B350, ""en"", ""ko"")"),"잔디밭 및 정원")</f>
        <v>잔디밭 및 정원</v>
      </c>
      <c r="C350" s="1">
        <v>8080</v>
      </c>
      <c r="D350" s="1">
        <v>6.3</v>
      </c>
      <c r="E350" s="1" t="str">
        <f ca="1">IFERROR(__xludf.DUMMYFUNCTION("GOOGLETRANSLATE(E350, ""en"", ""ko"")"),"부서진 바위나 자갈을 깔다")</f>
        <v>부서진 바위나 자갈을 깔다</v>
      </c>
      <c r="M350" s="1"/>
      <c r="O350" s="1"/>
    </row>
    <row r="351" spans="1:15" ht="16.5" customHeight="1">
      <c r="A351" s="1">
        <v>349</v>
      </c>
      <c r="B351" s="1" t="str">
        <f ca="1">IFERROR(__xludf.DUMMYFUNCTION("GOOGLETRANSLATE(B351, ""en"", ""ko"")"),"잔디밭 및 정원")</f>
        <v>잔디밭 및 정원</v>
      </c>
      <c r="C351" s="1">
        <v>8090</v>
      </c>
      <c r="D351" s="1">
        <v>5</v>
      </c>
      <c r="E351" s="1" t="str">
        <f ca="1">IFERROR(__xludf.DUMMYFUNCTION("GOOGLETRANSLATE(E351, ""en"", ""ko"")"),"잔디 깔기")</f>
        <v>잔디 깔기</v>
      </c>
      <c r="M351" s="1"/>
      <c r="O351" s="1"/>
    </row>
    <row r="352" spans="1:15" ht="16.5" customHeight="1">
      <c r="A352" s="1">
        <v>350</v>
      </c>
      <c r="B352" s="1" t="str">
        <f ca="1">IFERROR(__xludf.DUMMYFUNCTION("GOOGLETRANSLATE(B352, ""en"", ""ko"")"),"잔디밭 및 정원")</f>
        <v>잔디밭 및 정원</v>
      </c>
      <c r="C352" s="1">
        <v>8095</v>
      </c>
      <c r="D352" s="1">
        <v>5.5</v>
      </c>
      <c r="E352" s="1" t="str">
        <f ca="1">IFERROR(__xludf.DUMMYFUNCTION("GOOGLETRANSLATE(E352, ""en"", ""ko"")"),"잔디 깎기, 일반, 걷기, 중간 정도의 노력")</f>
        <v>잔디 깎기, 일반, 걷기, 중간 정도의 노력</v>
      </c>
      <c r="M352" s="1"/>
      <c r="O352" s="1"/>
    </row>
    <row r="353" spans="1:15" ht="16.5" customHeight="1">
      <c r="A353" s="1">
        <v>351</v>
      </c>
      <c r="B353" s="1" t="str">
        <f ca="1">IFERROR(__xludf.DUMMYFUNCTION("GOOGLETRANSLATE(B353, ""en"", ""ko"")"),"잔디밭 및 정원")</f>
        <v>잔디밭 및 정원</v>
      </c>
      <c r="C353" s="1">
        <v>8100</v>
      </c>
      <c r="D353" s="1">
        <v>2.5</v>
      </c>
      <c r="E353" s="1" t="str">
        <f ca="1">IFERROR(__xludf.DUMMYFUNCTION("GOOGLETRANSLATE(E353, ""en"", ""ko"")"),"잔디 깎기, 승용 잔디 깎는 기계")</f>
        <v>잔디 깎기, 승용 잔디 깎는 기계</v>
      </c>
      <c r="M353" s="1"/>
      <c r="O353" s="1"/>
    </row>
    <row r="354" spans="1:15" ht="16.5" customHeight="1">
      <c r="A354" s="1">
        <v>352</v>
      </c>
      <c r="B354" s="1" t="str">
        <f ca="1">IFERROR(__xludf.DUMMYFUNCTION("GOOGLETRANSLATE(B354, ""en"", ""ko"")"),"잔디밭 및 정원")</f>
        <v>잔디밭 및 정원</v>
      </c>
      <c r="C354" s="1">
        <v>8110</v>
      </c>
      <c r="D354" s="1">
        <v>6</v>
      </c>
      <c r="E354" s="1" t="str">
        <f ca="1">IFERROR(__xludf.DUMMYFUNCTION("GOOGLETRANSLATE(E354, ""en"", ""ko"")"),"잔디 깎기, 수동 잔디 깎기, 힘찬 노력")</f>
        <v>잔디 깎기, 수동 잔디 깎기, 힘찬 노력</v>
      </c>
      <c r="M354" s="1"/>
      <c r="O354" s="1"/>
    </row>
    <row r="355" spans="1:15" ht="16.5" customHeight="1">
      <c r="A355" s="1">
        <v>353</v>
      </c>
      <c r="B355" s="1" t="str">
        <f ca="1">IFERROR(__xludf.DUMMYFUNCTION("GOOGLETRANSLATE(B355, ""en"", ""ko"")"),"잔디밭 및 정원")</f>
        <v>잔디밭 및 정원</v>
      </c>
      <c r="C355" s="1">
        <v>8120</v>
      </c>
      <c r="D355" s="1">
        <v>5</v>
      </c>
      <c r="E355" s="1" t="str">
        <f ca="1">IFERROR(__xludf.DUMMYFUNCTION("GOOGLETRANSLATE(E355, ""en"", ""ko"")"),"잔디 깎기, 걷기, 전동 잔디 깎기, 중간 또는 강력한 노력")</f>
        <v>잔디 깎기, 걷기, 전동 잔디 깎기, 중간 또는 강력한 노력</v>
      </c>
      <c r="M355" s="1"/>
      <c r="O355" s="1"/>
    </row>
    <row r="356" spans="1:15" ht="16.5" customHeight="1">
      <c r="A356" s="1">
        <v>354</v>
      </c>
      <c r="B356" s="1" t="str">
        <f ca="1">IFERROR(__xludf.DUMMYFUNCTION("GOOGLETRANSLATE(B356, ""en"", ""ko"")"),"잔디밭 및 정원")</f>
        <v>잔디밭 및 정원</v>
      </c>
      <c r="C356" s="1">
        <v>8125</v>
      </c>
      <c r="D356" s="1">
        <v>4.5</v>
      </c>
      <c r="E356" s="1" t="str">
        <f ca="1">IFERROR(__xludf.DUMMYFUNCTION("GOOGLETRANSLATE(E356, ""en"", ""ko"")"),"잔디 깎기, 전동 잔디 깎는 기계, 가볍거나 중간 정도의 노력")</f>
        <v>잔디 깎기, 전동 잔디 깎는 기계, 가볍거나 중간 정도의 노력</v>
      </c>
      <c r="M356" s="1"/>
      <c r="O356" s="1"/>
    </row>
    <row r="357" spans="1:15" ht="16.5" customHeight="1">
      <c r="A357" s="1">
        <v>355</v>
      </c>
      <c r="B357" s="1" t="str">
        <f ca="1">IFERROR(__xludf.DUMMYFUNCTION("GOOGLETRANSLATE(B357, ""en"", ""ko"")"),"잔디밭 및 정원")</f>
        <v>잔디밭 및 정원</v>
      </c>
      <c r="C357" s="1">
        <v>8130</v>
      </c>
      <c r="D357" s="1">
        <v>2.5</v>
      </c>
      <c r="E357" s="1" t="str">
        <f ca="1">IFERROR(__xludf.DUMMYFUNCTION("GOOGLETRANSLATE(E357, ""en"", ""ko"")"),"제설기 작동, 걷기")</f>
        <v>제설기 작동, 걷기</v>
      </c>
      <c r="M357" s="1"/>
      <c r="O357" s="1"/>
    </row>
    <row r="358" spans="1:15" ht="16.5" customHeight="1">
      <c r="A358" s="1">
        <v>356</v>
      </c>
      <c r="B358" s="1" t="str">
        <f ca="1">IFERROR(__xludf.DUMMYFUNCTION("GOOGLETRANSLATE(B358, ""en"", ""ko"")"),"잔디밭 및 정원")</f>
        <v>잔디밭 및 정원</v>
      </c>
      <c r="C358" s="1">
        <v>8135</v>
      </c>
      <c r="D358" s="1">
        <v>2.6</v>
      </c>
      <c r="E358" s="1" t="str">
        <f ca="1">IFERROR(__xludf.DUMMYFUNCTION("GOOGLETRANSLATE(E358, ""en"", ""ko"")"),"묘목이나 식물을 심거나, 화분에 심거나, 옮겨 심는 것은 가벼운 노력으로 가능합니다.")</f>
        <v>묘목이나 식물을 심거나, 화분에 심거나, 옮겨 심는 것은 가벼운 노력으로 가능합니다.</v>
      </c>
      <c r="M358" s="1"/>
      <c r="O358" s="1"/>
    </row>
    <row r="359" spans="1:15" ht="16.5" customHeight="1">
      <c r="A359" s="1">
        <v>357</v>
      </c>
      <c r="B359" s="1" t="str">
        <f ca="1">IFERROR(__xludf.DUMMYFUNCTION("GOOGLETRANSLATE(B359, ""en"", ""ko"")"),"잔디밭 및 정원")</f>
        <v>잔디밭 및 정원</v>
      </c>
      <c r="C359" s="1">
        <v>8140</v>
      </c>
      <c r="D359" s="1">
        <v>4.3</v>
      </c>
      <c r="E359" s="1" t="str">
        <f ca="1">IFERROR(__xludf.DUMMYFUNCTION("GOOGLETRANSLATE(E359, ""en"", ""ko"")"),"묘목, 관목 심기, 구부리기, 적당한 노력")</f>
        <v>묘목, 관목 심기, 구부리기, 적당한 노력</v>
      </c>
      <c r="M359" s="1"/>
      <c r="O359" s="1"/>
    </row>
    <row r="360" spans="1:15" ht="16.5" customHeight="1">
      <c r="A360" s="1">
        <v>358</v>
      </c>
      <c r="B360" s="1" t="str">
        <f ca="1">IFERROR(__xludf.DUMMYFUNCTION("GOOGLETRANSLATE(B360, ""en"", ""ko"")"),"잔디밭 및 정원")</f>
        <v>잔디밭 및 정원</v>
      </c>
      <c r="C360" s="1">
        <v>8145</v>
      </c>
      <c r="D360" s="1">
        <v>4.3</v>
      </c>
      <c r="E360" s="1" t="str">
        <f ca="1">IFERROR(__xludf.DUMMYFUNCTION("GOOGLETRANSLATE(E360, ""en"", ""ko"")"),"작물이나 정원을 심는 경우, 몸을 굽히고, 적당한 노력")</f>
        <v>작물이나 정원을 심는 경우, 몸을 굽히고, 적당한 노력</v>
      </c>
      <c r="M360" s="1"/>
      <c r="O360" s="1"/>
    </row>
    <row r="361" spans="1:15" ht="16.5" customHeight="1">
      <c r="A361" s="1">
        <v>359</v>
      </c>
      <c r="B361" s="1" t="str">
        <f ca="1">IFERROR(__xludf.DUMMYFUNCTION("GOOGLETRANSLATE(B361, ""en"", ""ko"")"),"잔디밭 및 정원")</f>
        <v>잔디밭 및 정원</v>
      </c>
      <c r="C361" s="1">
        <v>8150</v>
      </c>
      <c r="D361" s="1">
        <v>4.5</v>
      </c>
      <c r="E361" s="1" t="str">
        <f ca="1">IFERROR(__xludf.DUMMYFUNCTION("GOOGLETRANSLATE(E361, ""en"", ""ko"")"),"나무 심기")</f>
        <v>나무 심기</v>
      </c>
      <c r="M361" s="1"/>
      <c r="O361" s="1"/>
    </row>
    <row r="362" spans="1:15" ht="16.5" customHeight="1">
      <c r="A362" s="1">
        <v>360</v>
      </c>
      <c r="B362" s="1" t="str">
        <f ca="1">IFERROR(__xludf.DUMMYFUNCTION("GOOGLETRANSLATE(B362, ""en"", ""ko"")"),"잔디밭 및 정원")</f>
        <v>잔디밭 및 정원</v>
      </c>
      <c r="C362" s="1">
        <v>8160</v>
      </c>
      <c r="D362" s="1">
        <v>4</v>
      </c>
      <c r="E362" s="1" t="str">
        <f ca="1">IFERROR(__xludf.DUMMYFUNCTION("GOOGLETRANSLATE(E362, ""en"", ""ko"")"),"잔디나 나뭇잎을 갈아 치우기, 적당한 노력")</f>
        <v>잔디나 나뭇잎을 갈아 치우기, 적당한 노력</v>
      </c>
      <c r="M362" s="1"/>
      <c r="O362" s="1"/>
    </row>
    <row r="363" spans="1:15" ht="16.5" customHeight="1">
      <c r="A363" s="1">
        <v>361</v>
      </c>
      <c r="B363" s="1" t="str">
        <f ca="1">IFERROR(__xludf.DUMMYFUNCTION("GOOGLETRANSLATE(B363, ""en"", ""ko"")"),"잔디밭 및 정원")</f>
        <v>잔디밭 및 정원</v>
      </c>
      <c r="C363" s="1">
        <v>8165</v>
      </c>
      <c r="D363" s="1">
        <v>4</v>
      </c>
      <c r="E363" s="1" t="str">
        <f ca="1">IFERROR(__xludf.DUMMYFUNCTION("GOOGLETRANSLATE(E363, ""en"", ""ko"")"),"잔디 갈퀴질")</f>
        <v>잔디 갈퀴질</v>
      </c>
      <c r="M363" s="1"/>
      <c r="O363" s="1"/>
    </row>
    <row r="364" spans="1:15" ht="16.5" customHeight="1">
      <c r="A364" s="1">
        <v>362</v>
      </c>
      <c r="B364" s="1" t="str">
        <f ca="1">IFERROR(__xludf.DUMMYFUNCTION("GOOGLETRANSLATE(B364, ""en"", ""ko"")"),"잔디밭 및 정원")</f>
        <v>잔디밭 및 정원</v>
      </c>
      <c r="C364" s="1">
        <v>8170</v>
      </c>
      <c r="D364" s="1">
        <v>4</v>
      </c>
      <c r="E364" s="1" t="str">
        <f ca="1">IFERROR(__xludf.DUMMYFUNCTION("GOOGLETRANSLATE(E364, ""en"", ""ko"")"),"눈 갈퀴로 지붕 긁기")</f>
        <v>눈 갈퀴로 지붕 긁기</v>
      </c>
      <c r="M364" s="1"/>
      <c r="O364" s="1"/>
    </row>
    <row r="365" spans="1:15" ht="16.5" customHeight="1">
      <c r="A365" s="1">
        <v>363</v>
      </c>
      <c r="B365" s="1" t="str">
        <f ca="1">IFERROR(__xludf.DUMMYFUNCTION("GOOGLETRANSLATE(B365, ""en"", ""ko"")"),"잔디밭 및 정원")</f>
        <v>잔디밭 및 정원</v>
      </c>
      <c r="C365" s="1">
        <v>8180</v>
      </c>
      <c r="D365" s="1">
        <v>3</v>
      </c>
      <c r="E365" s="1" t="str">
        <f ca="1">IFERROR(__xludf.DUMMYFUNCTION("GOOGLETRANSLATE(E365, ""en"", ""ko"")"),"라이딩 제설기")</f>
        <v>라이딩 제설기</v>
      </c>
      <c r="M365" s="1"/>
      <c r="O365" s="1"/>
    </row>
    <row r="366" spans="1:15" ht="16.5" customHeight="1">
      <c r="A366" s="1">
        <v>364</v>
      </c>
      <c r="B366" s="1" t="str">
        <f ca="1">IFERROR(__xludf.DUMMYFUNCTION("GOOGLETRANSLATE(B366, ""en"", ""ko"")"),"잔디밭 및 정원")</f>
        <v>잔디밭 및 정원</v>
      </c>
      <c r="C366" s="1">
        <v>8190</v>
      </c>
      <c r="D366" s="1">
        <v>4</v>
      </c>
      <c r="E366" s="1" t="str">
        <f ca="1">IFERROR(__xludf.DUMMYFUNCTION("GOOGLETRANSLATE(E366, ""en"", ""ko"")"),"풀, 잎을 자루로 옮기다")</f>
        <v>풀, 잎을 자루로 옮기다</v>
      </c>
      <c r="M366" s="1"/>
      <c r="O366" s="1"/>
    </row>
    <row r="367" spans="1:15" ht="16.5" customHeight="1">
      <c r="A367" s="1">
        <v>365</v>
      </c>
      <c r="B367" s="1" t="str">
        <f ca="1">IFERROR(__xludf.DUMMYFUNCTION("GOOGLETRANSLATE(B367, ""en"", ""ko"")"),"잔디밭 및 정원")</f>
        <v>잔디밭 및 정원</v>
      </c>
      <c r="C367" s="1">
        <v>8192</v>
      </c>
      <c r="D367" s="1">
        <v>5.5</v>
      </c>
      <c r="E367" s="1" t="str">
        <f ca="1">IFERROR(__xludf.DUMMYFUNCTION("GOOGLETRANSLATE(E367, ""en"", ""ko"")"),"흙이나 진흙을 삽으로 퍼내다")</f>
        <v>흙이나 진흙을 삽으로 퍼내다</v>
      </c>
      <c r="M367" s="1"/>
      <c r="O367" s="1"/>
    </row>
    <row r="368" spans="1:15" ht="16.5" customHeight="1">
      <c r="A368" s="1">
        <v>366</v>
      </c>
      <c r="B368" s="1" t="str">
        <f ca="1">IFERROR(__xludf.DUMMYFUNCTION("GOOGLETRANSLATE(B368, ""en"", ""ko"")"),"잔디밭 및 정원")</f>
        <v>잔디밭 및 정원</v>
      </c>
      <c r="C368" s="1">
        <v>8195</v>
      </c>
      <c r="D368" s="1">
        <v>5.3</v>
      </c>
      <c r="E368" s="1" t="str">
        <f ca="1">IFERROR(__xludf.DUMMYFUNCTION("GOOGLETRANSLATE(E368, ""en"", ""ko"")"),"손으로 눈 치우기, 적당한 노력")</f>
        <v>손으로 눈 치우기, 적당한 노력</v>
      </c>
      <c r="M368" s="1"/>
      <c r="O368" s="1"/>
    </row>
    <row r="369" spans="1:15" ht="16.5" customHeight="1">
      <c r="A369" s="1">
        <v>367</v>
      </c>
      <c r="B369" s="1" t="str">
        <f ca="1">IFERROR(__xludf.DUMMYFUNCTION("GOOGLETRANSLATE(B369, ""en"", ""ko"")"),"잔디밭 및 정원")</f>
        <v>잔디밭 및 정원</v>
      </c>
      <c r="C369" s="1">
        <v>8200</v>
      </c>
      <c r="D369" s="1">
        <v>6</v>
      </c>
      <c r="E369" s="1" t="str">
        <f ca="1">IFERROR(__xludf.DUMMYFUNCTION("GOOGLETRANSLATE(E369, ""en"", ""ko"")"),"손으로 눈 치우기")</f>
        <v>손으로 눈 치우기</v>
      </c>
      <c r="M369" s="1"/>
      <c r="O369" s="1"/>
    </row>
    <row r="370" spans="1:15" ht="16.5" customHeight="1">
      <c r="A370" s="1">
        <v>368</v>
      </c>
      <c r="B370" s="1" t="str">
        <f ca="1">IFERROR(__xludf.DUMMYFUNCTION("GOOGLETRANSLATE(B370, ""en"", ""ko"")"),"잔디밭 및 정원")</f>
        <v>잔디밭 및 정원</v>
      </c>
      <c r="C370" s="1">
        <v>8202</v>
      </c>
      <c r="D370" s="1">
        <v>7.5</v>
      </c>
      <c r="E370" s="1" t="str">
        <f ca="1">IFERROR(__xludf.DUMMYFUNCTION("GOOGLETRANSLATE(E370, ""en"", ""ko"")"),"손으로 눈 치우기, 힘찬 노력")</f>
        <v>손으로 눈 치우기, 힘찬 노력</v>
      </c>
      <c r="M370" s="1"/>
      <c r="O370" s="1"/>
    </row>
    <row r="371" spans="1:15" ht="16.5" customHeight="1">
      <c r="A371" s="1">
        <v>369</v>
      </c>
      <c r="B371" s="1" t="str">
        <f ca="1">IFERROR(__xludf.DUMMYFUNCTION("GOOGLETRANSLATE(B371, ""en"", ""ko"")"),"잔디밭 및 정원")</f>
        <v>잔디밭 및 정원</v>
      </c>
      <c r="C371" s="1">
        <v>8210</v>
      </c>
      <c r="D371" s="1">
        <v>3.8</v>
      </c>
      <c r="E371" s="1" t="str">
        <f ca="1">IFERROR(__xludf.DUMMYFUNCTION("GOOGLETRANSLATE(E371, ""en"", ""ko"")"),"관목이나 나무 다듬기, 수동 커터")</f>
        <v>관목이나 나무 다듬기, 수동 커터</v>
      </c>
      <c r="M371" s="1"/>
      <c r="O371" s="1"/>
    </row>
    <row r="372" spans="1:15" ht="16.5" customHeight="1">
      <c r="A372" s="1">
        <v>370</v>
      </c>
      <c r="B372" s="1" t="str">
        <f ca="1">IFERROR(__xludf.DUMMYFUNCTION("GOOGLETRANSLATE(B372, ""en"", ""ko"")"),"잔디밭 및 정원")</f>
        <v>잔디밭 및 정원</v>
      </c>
      <c r="C372" s="1">
        <v>8215</v>
      </c>
      <c r="D372" s="1">
        <v>3.3</v>
      </c>
      <c r="E372" s="1" t="str">
        <f ca="1">IFERROR(__xludf.DUMMYFUNCTION("GOOGLETRANSLATE(E372, ""en"", ""ko"")"),"관목이나 나무 다듬기, 전동 커터, 송풍기 사용, 테두리 깎기, 적당한 노력")</f>
        <v>관목이나 나무 다듬기, 전동 커터, 송풍기 사용, 테두리 깎기, 적당한 노력</v>
      </c>
      <c r="M372" s="1"/>
      <c r="O372" s="1"/>
    </row>
    <row r="373" spans="1:15" ht="16.5" customHeight="1">
      <c r="A373" s="1">
        <v>371</v>
      </c>
      <c r="B373" s="1" t="str">
        <f ca="1">IFERROR(__xludf.DUMMYFUNCTION("GOOGLETRANSLATE(B373, ""en"", ""ko"")"),"잔디밭 및 정원")</f>
        <v>잔디밭 및 정원</v>
      </c>
      <c r="C373" s="1">
        <v>8220</v>
      </c>
      <c r="D373" s="1">
        <v>3</v>
      </c>
      <c r="E373" s="1" t="str">
        <f ca="1">IFERROR(__xludf.DUMMYFUNCTION("GOOGLETRANSLATE(E373, ""en"", ""ko"")"),"걷기, 비료 뿌리기 또는 잔디 씨 뿌리기, 푸시형 도포기")</f>
        <v>걷기, 비료 뿌리기 또는 잔디 씨 뿌리기, 푸시형 도포기</v>
      </c>
      <c r="M373" s="1"/>
      <c r="O373" s="1"/>
    </row>
    <row r="374" spans="1:15" ht="16.5" customHeight="1">
      <c r="A374" s="1">
        <v>372</v>
      </c>
      <c r="B374" s="1" t="str">
        <f ca="1">IFERROR(__xludf.DUMMYFUNCTION("GOOGLETRANSLATE(B374, ""en"", ""ko"")"),"잔디밭 및 정원")</f>
        <v>잔디밭 및 정원</v>
      </c>
      <c r="C374" s="1">
        <v>8230</v>
      </c>
      <c r="D374" s="1">
        <v>4</v>
      </c>
      <c r="E374" s="1" t="str">
        <f ca="1">IFERROR(__xludf.DUMMYFUNCTION("GOOGLETRANSLATE(E374, ""en"", ""ko"")"),"잔디나 정원에 물주기, 서 있거나 걷기")</f>
        <v>잔디나 정원에 물주기, 서 있거나 걷기</v>
      </c>
      <c r="M374" s="1"/>
      <c r="O374" s="1"/>
    </row>
    <row r="375" spans="1:15" ht="16.5" customHeight="1">
      <c r="A375" s="1">
        <v>373</v>
      </c>
      <c r="B375" s="1" t="str">
        <f ca="1">IFERROR(__xludf.DUMMYFUNCTION("GOOGLETRANSLATE(B375, ""en"", ""ko"")"),"잔디밭 및 정원")</f>
        <v>잔디밭 및 정원</v>
      </c>
      <c r="C375" s="1">
        <v>8239</v>
      </c>
      <c r="D375" s="1">
        <v>3.8</v>
      </c>
      <c r="E375" s="1" t="str">
        <f ca="1">IFERROR(__xludf.DUMMYFUNCTION("GOOGLETRANSLATE(E375, ""en"", ""ko"")"),"잡초 제거, 정원 가꾸기, 가볍거나 중간 정도의 노력")</f>
        <v>잡초 제거, 정원 가꾸기, 가볍거나 중간 정도의 노력</v>
      </c>
      <c r="M375" s="1"/>
      <c r="O375" s="1"/>
    </row>
    <row r="376" spans="1:15" ht="16.5" customHeight="1">
      <c r="A376" s="1">
        <v>374</v>
      </c>
      <c r="B376" s="1" t="str">
        <f ca="1">IFERROR(__xludf.DUMMYFUNCTION("GOOGLETRANSLATE(B376, ""en"", ""ko"")"),"잔디밭 및 정원")</f>
        <v>잔디밭 및 정원</v>
      </c>
      <c r="C376" s="1">
        <v>8240</v>
      </c>
      <c r="D376" s="1">
        <v>4.5</v>
      </c>
      <c r="E376" s="1" t="str">
        <f ca="1">IFERROR(__xludf.DUMMYFUNCTION("GOOGLETRANSLATE(E376, ""en"", ""ko"")"),"잡초 제거, 정원 가꾸기, 중간 정도의 노력)")</f>
        <v>잡초 제거, 정원 가꾸기, 중간 정도의 노력)</v>
      </c>
      <c r="M376" s="1"/>
      <c r="O376" s="1"/>
    </row>
    <row r="377" spans="1:15" ht="16.5" customHeight="1">
      <c r="A377" s="1">
        <v>375</v>
      </c>
      <c r="B377" s="1" t="str">
        <f ca="1">IFERROR(__xludf.DUMMYFUNCTION("GOOGLETRANSLATE(B377, ""en"", ""ko"")"),"잔디밭 및 정원")</f>
        <v>잔디밭 및 정원</v>
      </c>
      <c r="C377" s="1">
        <v>8241</v>
      </c>
      <c r="D377" s="1">
        <v>5</v>
      </c>
      <c r="E377" s="1" t="str">
        <f ca="1">IFERROR(__xludf.DUMMYFUNCTION("GOOGLETRANSLATE(E377, ""en"", ""ko"")"),"잡초 제거, 정원 가꾸기, 괭이 사용(중간 강도에서 강력한 강도)")</f>
        <v>잡초 제거, 정원 가꾸기, 괭이 사용(중간 강도에서 강력한 강도)</v>
      </c>
      <c r="M377" s="1"/>
      <c r="O377" s="1"/>
    </row>
    <row r="378" spans="1:15" ht="16.5" customHeight="1">
      <c r="A378" s="1">
        <v>376</v>
      </c>
      <c r="B378" s="1" t="str">
        <f ca="1">IFERROR(__xludf.DUMMYFUNCTION("GOOGLETRANSLATE(B378, ""en"", ""ko"")"),"잔디밭 및 정원")</f>
        <v>잔디밭 및 정원</v>
      </c>
      <c r="C378" s="1">
        <v>8245</v>
      </c>
      <c r="D378" s="1">
        <v>3.8</v>
      </c>
      <c r="E378" s="1" t="str">
        <f ca="1">IFERROR(__xludf.DUMMYFUNCTION("GOOGLETRANSLATE(E378, ""en"", ""ko"")"),"원예, 일반, 중간 정도의 노력")</f>
        <v>원예, 일반, 중간 정도의 노력</v>
      </c>
      <c r="M378" s="1"/>
      <c r="O378" s="1"/>
    </row>
    <row r="379" spans="1:15" ht="16.5" customHeight="1">
      <c r="A379" s="1">
        <v>377</v>
      </c>
      <c r="B379" s="1" t="str">
        <f ca="1">IFERROR(__xludf.DUMMYFUNCTION("GOOGLETRANSLATE(B379, ""en"", ""ko"")"),"잔디밭 및 정원")</f>
        <v>잔디밭 및 정원</v>
      </c>
      <c r="C379" s="1">
        <v>8246</v>
      </c>
      <c r="D379" s="1">
        <v>3.5</v>
      </c>
      <c r="E379" s="1" t="str">
        <f ca="1">IFERROR(__xludf.DUMMYFUNCTION("GOOGLETRANSLATE(E379, ""en"", ""ko"")"),"나무에서 과일이나 커피 따기, 적당한 노력")</f>
        <v>나무에서 과일이나 커피 따기, 적당한 노력</v>
      </c>
      <c r="M379" s="1"/>
      <c r="O379" s="1"/>
    </row>
    <row r="380" spans="1:15" ht="16.5" customHeight="1">
      <c r="A380" s="1">
        <v>378</v>
      </c>
      <c r="B380" s="1" t="str">
        <f ca="1">IFERROR(__xludf.DUMMYFUNCTION("GOOGLETRANSLATE(B380, ""en"", ""ko"")"),"잔디밭 및 정원")</f>
        <v>잔디밭 및 정원</v>
      </c>
      <c r="C380" s="1">
        <v>8248</v>
      </c>
      <c r="D380" s="1">
        <v>4.5</v>
      </c>
      <c r="E380" s="1" t="str">
        <f ca="1">IFERROR(__xludf.DUMMYFUNCTION("GOOGLETRANSLATE(E380, ""en"", ""ko"")"),"농산물 수확, 나무에서 과일 따기, 과일 따기, 과일/야채 따기, 사다리를 타고 과일 따기, 활력 넘치는")</f>
        <v>농산물 수확, 나무에서 과일 따기, 과일 따기, 과일/야채 따기, 사다리를 타고 과일 따기, 활력 넘치는</v>
      </c>
      <c r="M380" s="1"/>
      <c r="O380" s="1"/>
    </row>
    <row r="381" spans="1:15" ht="16.5" customHeight="1">
      <c r="A381" s="1">
        <v>379</v>
      </c>
      <c r="B381" s="1" t="str">
        <f ca="1">IFERROR(__xludf.DUMMYFUNCTION("GOOGLETRANSLATE(B381, ""en"", ""ko"")"),"잔디밭 및 정원")</f>
        <v>잔디밭 및 정원</v>
      </c>
      <c r="C381" s="1">
        <v>8248</v>
      </c>
      <c r="D381" s="1">
        <v>4.5</v>
      </c>
      <c r="E381" s="1" t="str">
        <f ca="1">IFERROR(__xludf.DUMMYFUNCTION("GOOGLETRANSLATE(E381, ""en"", ""ko"")"),"농산물 수확, 나무에서 과일 따기, 과일 따기, 과일/야채 따기, 사다리를 타고 과일 따기, 힘찬 노력")</f>
        <v>농산물 수확, 나무에서 과일 따기, 과일 따기, 과일/야채 따기, 사다리를 타고 과일 따기, 힘찬 노력</v>
      </c>
      <c r="M381" s="1"/>
      <c r="O381" s="1"/>
    </row>
    <row r="382" spans="1:15" ht="16.5" customHeight="1">
      <c r="A382" s="1">
        <v>380</v>
      </c>
      <c r="B382" s="1" t="str">
        <f ca="1">IFERROR(__xludf.DUMMYFUNCTION("GOOGLETRANSLATE(B382, ""en"", ""ko"")"),"잔디밭 및 정원")</f>
        <v>잔디밭 및 정원</v>
      </c>
      <c r="C382" s="1">
        <v>8250</v>
      </c>
      <c r="D382" s="1">
        <v>3</v>
      </c>
      <c r="E382" s="1" t="str">
        <f ca="1">IFERROR(__xludf.DUMMYFUNCTION("GOOGLETRANSLATE(E382, ""en"", ""ko"")"),"암시적 걷기/서기 - 마당, 조명, 꽃이나 야채 따기")</f>
        <v>암시적 걷기/서기 - 마당, 조명, 꽃이나 야채 따기</v>
      </c>
      <c r="M382" s="1"/>
      <c r="O382" s="1"/>
    </row>
    <row r="383" spans="1:15" ht="16.5" customHeight="1">
      <c r="A383" s="1">
        <v>381</v>
      </c>
      <c r="B383" s="1" t="str">
        <f ca="1">IFERROR(__xludf.DUMMYFUNCTION("GOOGLETRANSLATE(B383, ""en"", ""ko"")"),"잔디밭 및 정원")</f>
        <v>잔디밭 및 정원</v>
      </c>
      <c r="C383" s="1">
        <v>8251</v>
      </c>
      <c r="D383" s="1">
        <v>3</v>
      </c>
      <c r="E383" s="1" t="str">
        <f ca="1">IFERROR(__xludf.DUMMYFUNCTION("GOOGLETRANSLATE(E383, ""en"", ""ko"")"),"산책, 정원 도구 모으기")</f>
        <v>산책, 정원 도구 모으기</v>
      </c>
      <c r="M383" s="1"/>
      <c r="O383" s="1"/>
    </row>
    <row r="384" spans="1:15" ht="16.5" customHeight="1">
      <c r="A384" s="1">
        <v>382</v>
      </c>
      <c r="B384" s="1" t="str">
        <f ca="1">IFERROR(__xludf.DUMMYFUNCTION("GOOGLETRANSLATE(B384, ""en"", ""ko"")"),"잔디밭 및 정원")</f>
        <v>잔디밭 및 정원</v>
      </c>
      <c r="C384" s="1">
        <v>8255</v>
      </c>
      <c r="D384" s="1">
        <v>4.8</v>
      </c>
      <c r="E384" s="1" t="str">
        <f ca="1">IFERROR(__xludf.DUMMYFUNCTION("GOOGLETRANSLATE(E384, ""en"", ""ko"")"),"수레바퀴, 정원 카트 또는 수레바퀴, 일반")</f>
        <v>수레바퀴, 정원 카트 또는 수레바퀴, 일반</v>
      </c>
      <c r="M384" s="1"/>
      <c r="O384" s="1"/>
    </row>
    <row r="385" spans="1:15" ht="16.5" customHeight="1">
      <c r="A385" s="1">
        <v>383</v>
      </c>
      <c r="B385" s="1" t="str">
        <f ca="1">IFERROR(__xludf.DUMMYFUNCTION("GOOGLETRANSLATE(B385, ""en"", ""ko"")"),"잔디밭 및 정원")</f>
        <v>잔디밭 및 정원</v>
      </c>
      <c r="C385" s="1">
        <v>8256</v>
      </c>
      <c r="D385" s="1">
        <v>6</v>
      </c>
      <c r="E385" s="1" t="str">
        <f ca="1">IFERROR(__xludf.DUMMYFUNCTION("GOOGLETRANSLATE(E385, ""en"", ""ko"")"),"수레바퀴, 대형 정원 카트 또는 최대 150kg의 무거운 수레바퀴")</f>
        <v>수레바퀴, 대형 정원 카트 또는 최대 150kg의 무거운 수레바퀴</v>
      </c>
      <c r="M385" s="1"/>
      <c r="O385" s="1"/>
    </row>
    <row r="386" spans="1:15" ht="16.5" customHeight="1">
      <c r="A386" s="1">
        <v>384</v>
      </c>
      <c r="B386" s="1" t="str">
        <f ca="1">IFERROR(__xludf.DUMMYFUNCTION("GOOGLETRANSLATE(B386, ""en"", ""ko"")"),"잔디밭 및 정원")</f>
        <v>잔디밭 및 정원</v>
      </c>
      <c r="C386" s="1">
        <v>8260</v>
      </c>
      <c r="D386" s="1">
        <v>2.2999999999999998</v>
      </c>
      <c r="E386" s="1" t="str">
        <f ca="1">IFERROR(__xludf.DUMMYFUNCTION("GOOGLETRANSLATE(E386, ""en"", ""ko"")"),"정원 작업, 일반, 가벼운 노력")</f>
        <v>정원 작업, 일반, 가벼운 노력</v>
      </c>
      <c r="M386" s="1"/>
      <c r="O386" s="1"/>
    </row>
    <row r="387" spans="1:15" ht="16.5" customHeight="1">
      <c r="A387" s="1">
        <v>385</v>
      </c>
      <c r="B387" s="1" t="str">
        <f ca="1">IFERROR(__xludf.DUMMYFUNCTION("GOOGLETRANSLATE(B387, ""en"", ""ko"")"),"잔디밭 및 정원")</f>
        <v>잔디밭 및 정원</v>
      </c>
      <c r="C387" s="1">
        <v>8261</v>
      </c>
      <c r="D387" s="1">
        <v>4</v>
      </c>
      <c r="E387" s="1" t="str">
        <f ca="1">IFERROR(__xludf.DUMMYFUNCTION("GOOGLETRANSLATE(E387, ""en"", ""ko"")"),"정원 작업, 일반, 중간 정도의 노력")</f>
        <v>정원 작업, 일반, 중간 정도의 노력</v>
      </c>
      <c r="M387" s="1"/>
      <c r="O387" s="1"/>
    </row>
    <row r="388" spans="1:15" ht="16.5" customHeight="1">
      <c r="A388" s="1">
        <v>386</v>
      </c>
      <c r="B388" s="1" t="str">
        <f ca="1">IFERROR(__xludf.DUMMYFUNCTION("GOOGLETRANSLATE(B388, ""en"", ""ko"")"),"잔디밭 및 정원")</f>
        <v>잔디밭 및 정원</v>
      </c>
      <c r="C388" s="1">
        <v>8262</v>
      </c>
      <c r="D388" s="1">
        <v>6</v>
      </c>
      <c r="E388" s="1" t="str">
        <f ca="1">IFERROR(__xludf.DUMMYFUNCTION("GOOGLETRANSLATE(E388, ""en"", ""ko"")"),"정원 작업, 일반, 활발한 노력")</f>
        <v>정원 작업, 일반, 활발한 노력</v>
      </c>
      <c r="M388" s="1"/>
      <c r="O388" s="1"/>
    </row>
    <row r="389" spans="1:15" ht="16.5" customHeight="1">
      <c r="A389" s="1">
        <v>387</v>
      </c>
      <c r="B389" s="1" t="str">
        <f ca="1">IFERROR(__xludf.DUMMYFUNCTION("GOOGLETRANSLATE(B389, ""en"", ""ko"")"),"여러 가지 잡다한")</f>
        <v>여러 가지 잡다한</v>
      </c>
      <c r="C389" s="1">
        <v>9000</v>
      </c>
      <c r="D389" s="1">
        <v>1.3</v>
      </c>
      <c r="E389" s="1" t="str">
        <f ca="1">IFERROR(__xludf.DUMMYFUNCTION("GOOGLETRANSLATE(E389, ""en"", ""ko"")"),"보드 게임하기, 앉아서")</f>
        <v>보드 게임하기, 앉아서</v>
      </c>
      <c r="M389" s="1"/>
      <c r="O389" s="1"/>
    </row>
    <row r="390" spans="1:15" ht="16.5" customHeight="1">
      <c r="A390" s="1">
        <v>388</v>
      </c>
      <c r="B390" s="1" t="str">
        <f ca="1">IFERROR(__xludf.DUMMYFUNCTION("GOOGLETRANSLATE(B390, ""en"", ""ko"")"),"여러 가지 잡다한")</f>
        <v>여러 가지 잡다한</v>
      </c>
      <c r="C390" s="1">
        <v>9005</v>
      </c>
      <c r="D390" s="1">
        <v>2.5</v>
      </c>
      <c r="E390" s="1" t="str">
        <f ca="1">IFERROR(__xludf.DUMMYFUNCTION("GOOGLETRANSLATE(E390, ""en"", ""ko"")"),"카지노 도박, 스탠딩")</f>
        <v>카지노 도박, 스탠딩</v>
      </c>
      <c r="M390" s="1"/>
      <c r="O390" s="1"/>
    </row>
    <row r="391" spans="1:15" ht="16.5" customHeight="1">
      <c r="A391" s="1">
        <v>389</v>
      </c>
      <c r="B391" s="1" t="str">
        <f ca="1">IFERROR(__xludf.DUMMYFUNCTION("GOOGLETRANSLATE(B391, ""en"", ""ko"")"),"여러 가지 잡다한")</f>
        <v>여러 가지 잡다한</v>
      </c>
      <c r="C391" s="1">
        <v>9010</v>
      </c>
      <c r="D391" s="1">
        <v>1.5</v>
      </c>
      <c r="E391" s="1" t="str">
        <f ca="1">IFERROR(__xludf.DUMMYFUNCTION("GOOGLETRANSLATE(E391, ""en"", ""ko"")"),"카드놀이, 앉아서")</f>
        <v>카드놀이, 앉아서</v>
      </c>
      <c r="M391" s="1"/>
      <c r="O391" s="1"/>
    </row>
    <row r="392" spans="1:15" ht="16.5" customHeight="1">
      <c r="A392" s="1">
        <v>390</v>
      </c>
      <c r="B392" s="1" t="str">
        <f ca="1">IFERROR(__xludf.DUMMYFUNCTION("GOOGLETRANSLATE(B392, ""en"", ""ko"")"),"여러 가지 잡다한")</f>
        <v>여러 가지 잡다한</v>
      </c>
      <c r="C392" s="1">
        <v>9013</v>
      </c>
      <c r="D392" s="1">
        <v>1.5</v>
      </c>
      <c r="E392" s="1" t="str">
        <f ca="1">IFERROR(__xludf.DUMMYFUNCTION("GOOGLETRANSLATE(E392, ""en"", ""ko"")"),"체스 게임, 앉아서")</f>
        <v>체스 게임, 앉아서</v>
      </c>
      <c r="M392" s="1"/>
      <c r="O392" s="1"/>
    </row>
    <row r="393" spans="1:15" ht="16.5" customHeight="1">
      <c r="A393" s="1">
        <v>391</v>
      </c>
      <c r="B393" s="1" t="str">
        <f ca="1">IFERROR(__xludf.DUMMYFUNCTION("GOOGLETRANSLATE(B393, ""en"", ""ko"")"),"여러 가지 잡다한")</f>
        <v>여러 가지 잡다한</v>
      </c>
      <c r="C393" s="1">
        <v>9015</v>
      </c>
      <c r="D393" s="1">
        <v>1.5</v>
      </c>
      <c r="E393" s="1" t="str">
        <f ca="1">IFERROR(__xludf.DUMMYFUNCTION("GOOGLETRANSLATE(E393, ""en"", ""ko"")"),"문서 복사 또는 보관, 서 있음")</f>
        <v>문서 복사 또는 보관, 서 있음</v>
      </c>
      <c r="M393" s="1"/>
      <c r="O393" s="1"/>
    </row>
    <row r="394" spans="1:15" ht="16.5" customHeight="1">
      <c r="A394" s="1">
        <v>392</v>
      </c>
      <c r="B394" s="1" t="str">
        <f ca="1">IFERROR(__xludf.DUMMYFUNCTION("GOOGLETRANSLATE(B394, ""en"", ""ko"")"),"여러 가지 잡다한")</f>
        <v>여러 가지 잡다한</v>
      </c>
      <c r="C394" s="1">
        <v>9020</v>
      </c>
      <c r="D394" s="1">
        <v>1.8</v>
      </c>
      <c r="E394" s="1" t="str">
        <f ca="1">IFERROR(__xludf.DUMMYFUNCTION("GOOGLETRANSLATE(E394, ""en"", ""ko"")"),"그림 그리기, 글쓰기, 페인팅, 서기")</f>
        <v>그림 그리기, 글쓰기, 페인팅, 서기</v>
      </c>
      <c r="M394" s="1"/>
      <c r="O394" s="1"/>
    </row>
    <row r="395" spans="1:15" ht="16.5" customHeight="1">
      <c r="A395" s="1">
        <v>393</v>
      </c>
      <c r="B395" s="1" t="str">
        <f ca="1">IFERROR(__xludf.DUMMYFUNCTION("GOOGLETRANSLATE(B395, ""en"", ""ko"")"),"여러 가지 잡다한")</f>
        <v>여러 가지 잡다한</v>
      </c>
      <c r="C395" s="1">
        <v>9025</v>
      </c>
      <c r="D395" s="1">
        <v>1</v>
      </c>
      <c r="E395" s="1" t="str">
        <f ca="1">IFERROR(__xludf.DUMMYFUNCTION("GOOGLETRANSLATE(E395, ""en"", ""ko"")"),"웃음, 앉아")</f>
        <v>웃음, 앉아</v>
      </c>
      <c r="M395" s="1"/>
      <c r="O395" s="1"/>
    </row>
    <row r="396" spans="1:15" ht="16.5" customHeight="1">
      <c r="A396" s="1">
        <v>394</v>
      </c>
      <c r="B396" s="1" t="str">
        <f ca="1">IFERROR(__xludf.DUMMYFUNCTION("GOOGLETRANSLATE(B396, ""en"", ""ko"")"),"여러 가지 잡다한")</f>
        <v>여러 가지 잡다한</v>
      </c>
      <c r="C396" s="1">
        <v>9030</v>
      </c>
      <c r="D396" s="1">
        <v>1</v>
      </c>
      <c r="E396" s="1" t="str">
        <f ca="1">IFERROR(__xludf.DUMMYFUNCTION("GOOGLETRANSLATE(E396, ""en"", ""ko"")"),"앉아서: 독서, 책, 신문, 잡지")</f>
        <v>앉아서: 독서, 책, 신문, 잡지</v>
      </c>
      <c r="M396" s="1"/>
      <c r="O396" s="1"/>
    </row>
    <row r="397" spans="1:15" ht="16.5" customHeight="1">
      <c r="A397" s="1">
        <v>395</v>
      </c>
      <c r="B397" s="1" t="str">
        <f ca="1">IFERROR(__xludf.DUMMYFUNCTION("GOOGLETRANSLATE(B397, ""en"", ""ko"")"),"여러 가지 잡다한")</f>
        <v>여러 가지 잡다한</v>
      </c>
      <c r="C397" s="1">
        <v>9034</v>
      </c>
      <c r="D397" s="1">
        <v>1.8</v>
      </c>
      <c r="E397" s="1" t="str">
        <f ca="1">IFERROR(__xludf.DUMMYFUNCTION("GOOGLETRANSLATE(E397, ""en"", ""ko"")"),"균형 의자/안정성 볼에 앉아 타이핑하거나 책을 읽는 것")</f>
        <v>균형 의자/안정성 볼에 앉아 타이핑하거나 책을 읽는 것</v>
      </c>
      <c r="M397" s="1"/>
      <c r="O397" s="1"/>
    </row>
    <row r="398" spans="1:15" ht="16.5" customHeight="1">
      <c r="A398" s="1">
        <v>396</v>
      </c>
      <c r="B398" s="1" t="str">
        <f ca="1">IFERROR(__xludf.DUMMYFUNCTION("GOOGLETRANSLATE(B398, ""en"", ""ko"")"),"여러 가지 잡다한")</f>
        <v>여러 가지 잡다한</v>
      </c>
      <c r="C398" s="1">
        <v>9036</v>
      </c>
      <c r="D398" s="1">
        <v>2</v>
      </c>
      <c r="E398" s="1" t="str">
        <f ca="1">IFERROR(__xludf.DUMMYFUNCTION("GOOGLETRANSLATE(E398, ""en"", ""ko"")"),"TV 시청, 광고 시간 동안 걷기")</f>
        <v>TV 시청, 광고 시간 동안 걷기</v>
      </c>
      <c r="M398" s="1"/>
      <c r="O398" s="1"/>
    </row>
    <row r="399" spans="1:15" ht="16.5" customHeight="1">
      <c r="A399" s="1">
        <v>397</v>
      </c>
      <c r="B399" s="1" t="str">
        <f ca="1">IFERROR(__xludf.DUMMYFUNCTION("GOOGLETRANSLATE(B399, ""en"", ""ko"")"),"여러 가지 잡다한")</f>
        <v>여러 가지 잡다한</v>
      </c>
      <c r="C399" s="1">
        <v>9040</v>
      </c>
      <c r="D399" s="1">
        <v>1.3</v>
      </c>
      <c r="E399" s="1" t="str">
        <f ca="1">IFERROR(__xludf.DUMMYFUNCTION("GOOGLETRANSLATE(E399, ""en"", ""ko"")"),"앉아서: 글쓰기, 책상 작업, 타이핑")</f>
        <v>앉아서: 글쓰기, 책상 작업, 타이핑</v>
      </c>
      <c r="M399" s="1"/>
      <c r="O399" s="1"/>
    </row>
    <row r="400" spans="1:15" ht="16.5" customHeight="1">
      <c r="A400" s="1">
        <v>398</v>
      </c>
      <c r="B400" s="1" t="str">
        <f ca="1">IFERROR(__xludf.DUMMYFUNCTION("GOOGLETRANSLATE(B400, ""en"", ""ko"")"),"여러 가지 잡다한")</f>
        <v>여러 가지 잡다한</v>
      </c>
      <c r="C400" s="1">
        <v>9050</v>
      </c>
      <c r="D400" s="1">
        <v>1.3</v>
      </c>
      <c r="E400" s="1" t="str">
        <f ca="1">IFERROR(__xludf.DUMMYFUNCTION("GOOGLETRANSLATE(E400, ""en"", ""ko"")"),"서서: 직접 대화, 전화, 컴퓨터, 문자 메시지, 글쓰기")</f>
        <v>서서: 직접 대화, 전화, 컴퓨터, 문자 메시지, 글쓰기</v>
      </c>
      <c r="M400" s="1"/>
      <c r="O400" s="1"/>
    </row>
    <row r="401" spans="1:15" ht="16.5" customHeight="1">
      <c r="A401" s="1">
        <v>399</v>
      </c>
      <c r="B401" s="1" t="str">
        <f ca="1">IFERROR(__xludf.DUMMYFUNCTION("GOOGLETRANSLATE(B401, ""en"", ""ko"")"),"여러 가지 잡다한")</f>
        <v>여러 가지 잡다한</v>
      </c>
      <c r="C401" s="1">
        <v>9055</v>
      </c>
      <c r="D401" s="1">
        <v>1.3</v>
      </c>
      <c r="E401" s="1" t="str">
        <f ca="1">IFERROR(__xludf.DUMMYFUNCTION("GOOGLETRANSLATE(E401, ""en"", ""ko"")"),"앉아서: 직접 대화하거나, 전화, 컴퓨터 또는 문자 메시지로 대화하는 경우, 가벼운 노력")</f>
        <v>앉아서: 직접 대화하거나, 전화, 컴퓨터 또는 문자 메시지로 대화하는 경우, 가벼운 노력</v>
      </c>
      <c r="M401" s="1"/>
      <c r="O401" s="1"/>
    </row>
    <row r="402" spans="1:15" ht="16.5" customHeight="1">
      <c r="A402" s="1">
        <v>400</v>
      </c>
      <c r="B402" s="1" t="str">
        <f ca="1">IFERROR(__xludf.DUMMYFUNCTION("GOOGLETRANSLATE(B402, ""en"", ""ko"")"),"여러 가지 잡다한")</f>
        <v>여러 가지 잡다한</v>
      </c>
      <c r="C402" s="1">
        <v>9060</v>
      </c>
      <c r="D402" s="1">
        <v>1.5</v>
      </c>
      <c r="E402" s="1" t="str">
        <f ca="1">IFERROR(__xludf.DUMMYFUNCTION("GOOGLETRANSLATE(E402, ""en"", ""ko"")"),"앉아서 공부하기 - 일반 공부, 독서 및/또는 쓰기 포함, 가벼운 노력")</f>
        <v>앉아서 공부하기 - 일반 공부, 독서 및/또는 쓰기 포함, 가벼운 노력</v>
      </c>
      <c r="M402" s="1"/>
      <c r="O402" s="1"/>
    </row>
    <row r="403" spans="1:15" ht="16.5" customHeight="1">
      <c r="A403" s="1">
        <v>401</v>
      </c>
      <c r="B403" s="1" t="str">
        <f ca="1">IFERROR(__xludf.DUMMYFUNCTION("GOOGLETRANSLATE(B403, ""en"", ""ko"")"),"여러 가지 잡다한")</f>
        <v>여러 가지 잡다한</v>
      </c>
      <c r="C403" s="1">
        <v>9065</v>
      </c>
      <c r="D403" s="1">
        <v>1.8</v>
      </c>
      <c r="E403" s="1" t="str">
        <f ca="1">IFERROR(__xludf.DUMMYFUNCTION("GOOGLETRANSLATE(E403, ""en"", ""ko"")"),"앉아서 - 수업 중, 일반, 노트 필기 또는 수업 토론 포함")</f>
        <v>앉아서 - 수업 중, 일반, 노트 필기 또는 수업 토론 포함</v>
      </c>
      <c r="M403" s="1"/>
      <c r="O403" s="1"/>
    </row>
    <row r="404" spans="1:15" ht="16.5" customHeight="1">
      <c r="A404" s="1">
        <v>402</v>
      </c>
      <c r="B404" s="1" t="str">
        <f ca="1">IFERROR(__xludf.DUMMYFUNCTION("GOOGLETRANSLATE(B404, ""en"", ""ko"")"),"여러 가지 잡다한")</f>
        <v>여러 가지 잡다한</v>
      </c>
      <c r="C404" s="1">
        <v>9070</v>
      </c>
      <c r="D404" s="1">
        <v>1</v>
      </c>
      <c r="E404" s="1" t="str">
        <f ca="1">IFERROR(__xludf.DUMMYFUNCTION("GOOGLETRANSLATE(E404, ""en"", ""ko"")"),"서서 읽기")</f>
        <v>서서 읽기</v>
      </c>
      <c r="M404" s="1"/>
      <c r="O404" s="1"/>
    </row>
    <row r="405" spans="1:15" ht="16.5" customHeight="1">
      <c r="A405" s="1">
        <v>403</v>
      </c>
      <c r="B405" s="1" t="str">
        <f ca="1">IFERROR(__xludf.DUMMYFUNCTION("GOOGLETRANSLATE(B405, ""en"", ""ko"")"),"여러 가지 잡다한")</f>
        <v>여러 가지 잡다한</v>
      </c>
      <c r="C405" s="1">
        <v>9071</v>
      </c>
      <c r="D405" s="1">
        <v>2.5</v>
      </c>
      <c r="E405" s="1" t="str">
        <f ca="1">IFERROR(__xludf.DUMMYFUNCTION("GOOGLETRANSLATE(E405, ""en"", ""ko"")"),"서 있는 자세: 기타")</f>
        <v>서 있는 자세: 기타</v>
      </c>
      <c r="M405" s="1"/>
      <c r="O405" s="1"/>
    </row>
    <row r="406" spans="1:15" ht="16.5" customHeight="1">
      <c r="A406" s="1">
        <v>404</v>
      </c>
      <c r="B406" s="1" t="str">
        <f ca="1">IFERROR(__xludf.DUMMYFUNCTION("GOOGLETRANSLATE(B406, ""en"", ""ko"")"),"여러 가지 잡다한")</f>
        <v>여러 가지 잡다한</v>
      </c>
      <c r="C406" s="1">
        <v>9075</v>
      </c>
      <c r="D406" s="1">
        <v>1.8</v>
      </c>
      <c r="E406" s="1" t="str">
        <f ca="1">IFERROR(__xludf.DUMMYFUNCTION("GOOGLETRANSLATE(E406, ""en"", ""ko"")"),"앉아서: 미술 및 공예, 나무 조각, 직조, 털실 뽑기, 가벼운 노력")</f>
        <v>앉아서: 미술 및 공예, 나무 조각, 직조, 털실 뽑기, 가벼운 노력</v>
      </c>
      <c r="M406" s="1"/>
      <c r="O406" s="1"/>
    </row>
    <row r="407" spans="1:15" ht="16.5" customHeight="1">
      <c r="A407" s="1">
        <v>405</v>
      </c>
      <c r="B407" s="1" t="str">
        <f ca="1">IFERROR(__xludf.DUMMYFUNCTION("GOOGLETRANSLATE(B407, ""en"", ""ko"")"),"여러 가지 잡다한")</f>
        <v>여러 가지 잡다한</v>
      </c>
      <c r="C407" s="1">
        <v>9080</v>
      </c>
      <c r="D407" s="1">
        <v>3</v>
      </c>
      <c r="E407" s="1" t="str">
        <f ca="1">IFERROR(__xludf.DUMMYFUNCTION("GOOGLETRANSLATE(E407, ""en"", ""ko"")"),"앉아서: 미술 및 공예, 나무 조각, 직조, 털실 뽑기, 중간 정도의 노력")</f>
        <v>앉아서: 미술 및 공예, 나무 조각, 직조, 털실 뽑기, 중간 정도의 노력</v>
      </c>
      <c r="M407" s="1"/>
      <c r="O407" s="1"/>
    </row>
    <row r="408" spans="1:15" ht="16.5" customHeight="1">
      <c r="A408" s="1">
        <v>406</v>
      </c>
      <c r="B408" s="1" t="str">
        <f ca="1">IFERROR(__xludf.DUMMYFUNCTION("GOOGLETRANSLATE(B408, ""en"", ""ko"")"),"여러 가지 잡다한")</f>
        <v>여러 가지 잡다한</v>
      </c>
      <c r="C408" s="1">
        <v>9085</v>
      </c>
      <c r="D408" s="1">
        <v>2.5</v>
      </c>
      <c r="E408" s="1" t="str">
        <f ca="1">IFERROR(__xludf.DUMMYFUNCTION("GOOGLETRANSLATE(E408, ""en"", ""ko"")"),"서서: 미술 및 공예, 모래 그림, 조각, 직조, 가벼운 노력")</f>
        <v>서서: 미술 및 공예, 모래 그림, 조각, 직조, 가벼운 노력</v>
      </c>
      <c r="M408" s="1"/>
      <c r="O408" s="1"/>
    </row>
    <row r="409" spans="1:15" ht="16.5" customHeight="1">
      <c r="A409" s="1">
        <v>407</v>
      </c>
      <c r="B409" s="1" t="str">
        <f ca="1">IFERROR(__xludf.DUMMYFUNCTION("GOOGLETRANSLATE(B409, ""en"", ""ko"")"),"여러 가지 잡다한")</f>
        <v>여러 가지 잡다한</v>
      </c>
      <c r="C409" s="1">
        <v>9090</v>
      </c>
      <c r="D409" s="1">
        <v>3.3</v>
      </c>
      <c r="E409" s="1" t="str">
        <f ca="1">IFERROR(__xludf.DUMMYFUNCTION("GOOGLETRANSLATE(E409, ""en"", ""ko"")"),"서서 - 미술 및 공예, 모래 그림, 조각, 직조, 중간 정도의 노력")</f>
        <v>서서 - 미술 및 공예, 모래 그림, 조각, 직조, 중간 정도의 노력</v>
      </c>
      <c r="M409" s="1"/>
      <c r="O409" s="1"/>
    </row>
    <row r="410" spans="1:15" ht="16.5" customHeight="1">
      <c r="A410" s="1">
        <v>408</v>
      </c>
      <c r="B410" s="1" t="str">
        <f ca="1">IFERROR(__xludf.DUMMYFUNCTION("GOOGLETRANSLATE(B410, ""en"", ""ko"")"),"여러 가지 잡다한")</f>
        <v>여러 가지 잡다한</v>
      </c>
      <c r="C410" s="1">
        <v>9095</v>
      </c>
      <c r="D410" s="1">
        <v>3.5</v>
      </c>
      <c r="E410" s="1" t="str">
        <f ca="1">IFERROR(__xludf.DUMMYFUNCTION("GOOGLETRANSLATE(E410, ""en"", ""ko"")"),"서서 - 미술 및 공예, 모래 그림, 조각, 직조, 격렬한 노력")</f>
        <v>서서 - 미술 및 공예, 모래 그림, 조각, 직조, 격렬한 노력</v>
      </c>
      <c r="M410" s="1"/>
      <c r="O410" s="1"/>
    </row>
    <row r="411" spans="1:15" ht="16.5" customHeight="1">
      <c r="A411" s="1">
        <v>409</v>
      </c>
      <c r="B411" s="1" t="str">
        <f ca="1">IFERROR(__xludf.DUMMYFUNCTION("GOOGLETRANSLATE(B411, ""en"", ""ko"")"),"여러 가지 잡다한")</f>
        <v>여러 가지 잡다한</v>
      </c>
      <c r="C411" s="1">
        <v>9100</v>
      </c>
      <c r="D411" s="1">
        <v>1.5</v>
      </c>
      <c r="E411" s="1" t="str">
        <f ca="1">IFERROR(__xludf.DUMMYFUNCTION("GOOGLETRANSLATE(E411, ""en"", ""ko"")"),"앉아서 휴식하고, 이야기하고, 식사하는 등의 활동을 하는 휴양/가족 모임 활동")</f>
        <v>앉아서 휴식하고, 이야기하고, 식사하는 등의 활동을 하는 휴양/가족 모임 활동</v>
      </c>
      <c r="M411" s="1"/>
      <c r="O411" s="1"/>
    </row>
    <row r="412" spans="1:15" ht="16.5" customHeight="1">
      <c r="A412" s="1">
        <v>410</v>
      </c>
      <c r="B412" s="1" t="str">
        <f ca="1">IFERROR(__xludf.DUMMYFUNCTION("GOOGLETRANSLATE(B412, ""en"", ""ko"")"),"여러 가지 잡다한")</f>
        <v>여러 가지 잡다한</v>
      </c>
      <c r="C412" s="1">
        <v>9101</v>
      </c>
      <c r="D412" s="1">
        <v>2.5</v>
      </c>
      <c r="E412" s="1" t="str">
        <f ca="1">IFERROR(__xludf.DUMMYFUNCTION("GOOGLETRANSLATE(E412, ""en"", ""ko"")"),"아이들과 함께 게임을 하는 휴양/가족 모임 활동")</f>
        <v>아이들과 함께 게임을 하는 휴양/가족 모임 활동</v>
      </c>
      <c r="M412" s="1"/>
      <c r="O412" s="1"/>
    </row>
    <row r="413" spans="1:15" ht="16.5" customHeight="1">
      <c r="A413" s="1">
        <v>411</v>
      </c>
      <c r="B413" s="1" t="str">
        <f ca="1">IFERROR(__xludf.DUMMYFUNCTION("GOOGLETRANSLATE(B413, ""en"", ""ko"")"),"여러 가지 잡다한")</f>
        <v>여러 가지 잡다한</v>
      </c>
      <c r="C413" s="1">
        <v>9105</v>
      </c>
      <c r="D413" s="1">
        <v>2</v>
      </c>
      <c r="E413" s="1" t="str">
        <f ca="1">IFERROR(__xludf.DUMMYFUNCTION("GOOGLETRANSLATE(E413, ""en"", ""ko"")"),"차량 탑승을 포함한 여행/여행/휴가")</f>
        <v>차량 탑승을 포함한 여행/여행/휴가</v>
      </c>
      <c r="M413" s="1"/>
      <c r="O413" s="1"/>
    </row>
    <row r="414" spans="1:15" ht="16.5" customHeight="1">
      <c r="A414" s="1">
        <v>412</v>
      </c>
      <c r="B414" s="1" t="str">
        <f ca="1">IFERROR(__xludf.DUMMYFUNCTION("GOOGLETRANSLATE(B414, ""en"", ""ko"")"),"여러 가지 잡다한")</f>
        <v>여러 가지 잡다한</v>
      </c>
      <c r="C414" s="1">
        <v>9106</v>
      </c>
      <c r="D414" s="1">
        <v>3.5</v>
      </c>
      <c r="E414" s="1" t="str">
        <f ca="1">IFERROR(__xludf.DUMMYFUNCTION("GOOGLETRANSLATE(E414, ""en"", ""ko"")"),"도보 여행/여행/휴가")</f>
        <v>도보 여행/여행/휴가</v>
      </c>
      <c r="M414" s="1"/>
      <c r="O414" s="1"/>
    </row>
    <row r="415" spans="1:15" ht="16.5" customHeight="1">
      <c r="A415" s="1">
        <v>413</v>
      </c>
      <c r="B415" s="1" t="str">
        <f ca="1">IFERROR(__xludf.DUMMYFUNCTION("GOOGLETRANSLATE(B415, ""en"", ""ko"")"),"여러 가지 잡다한")</f>
        <v>여러 가지 잡다한</v>
      </c>
      <c r="C415" s="1">
        <v>9110</v>
      </c>
      <c r="D415" s="1">
        <v>2.5</v>
      </c>
      <c r="E415" s="1" t="str">
        <f ca="1">IFERROR(__xludf.DUMMYFUNCTION("GOOGLETRANSLATE(E415, ""en"", ""ko"")"),"서기, 걷기, 앉기, 가볍거나 중간 정도의 노력이 필요한 캠핑")</f>
        <v>서기, 걷기, 앉기, 가볍거나 중간 정도의 노력이 필요한 캠핑</v>
      </c>
      <c r="M415" s="1"/>
      <c r="O415" s="1"/>
    </row>
    <row r="416" spans="1:15" ht="16.5" customHeight="1">
      <c r="A416" s="1">
        <v>414</v>
      </c>
      <c r="B416" s="1" t="str">
        <f ca="1">IFERROR(__xludf.DUMMYFUNCTION("GOOGLETRANSLATE(B416, ""en"", ""ko"")"),"여러 가지 잡다한")</f>
        <v>여러 가지 잡다한</v>
      </c>
      <c r="C416" s="1">
        <v>9115</v>
      </c>
      <c r="D416" s="1">
        <v>1.5</v>
      </c>
      <c r="E416" s="1" t="str">
        <f ca="1">IFERROR(__xludf.DUMMYFUNCTION("GOOGLETRANSLATE(E416, ""en"", ""ko"")"),"스포츠 경기에 앉아서 관중")</f>
        <v>스포츠 경기에 앉아서 관중</v>
      </c>
      <c r="M416" s="1"/>
      <c r="O416" s="1"/>
    </row>
    <row r="417" spans="1:15" ht="16.5" customHeight="1">
      <c r="A417" s="1">
        <v>415</v>
      </c>
      <c r="B417" s="1" t="str">
        <f ca="1">IFERROR(__xludf.DUMMYFUNCTION("GOOGLETRANSLATE(B417, ""en"", ""ko"")"),"음악 재생")</f>
        <v>음악 재생</v>
      </c>
      <c r="C417" s="1">
        <v>10010</v>
      </c>
      <c r="D417" s="1">
        <v>1.8</v>
      </c>
      <c r="E417" s="1" t="str">
        <f ca="1">IFERROR(__xludf.DUMMYFUNCTION("GOOGLETRANSLATE(E417, ""en"", ""ko"")"),"아코디언, 앉아")</f>
        <v>아코디언, 앉아</v>
      </c>
      <c r="M417" s="1"/>
      <c r="O417" s="1"/>
    </row>
    <row r="418" spans="1:15" ht="16.5" customHeight="1">
      <c r="A418" s="1">
        <v>416</v>
      </c>
      <c r="B418" s="1" t="str">
        <f ca="1">IFERROR(__xludf.DUMMYFUNCTION("GOOGLETRANSLATE(B418, ""en"", ""ko"")"),"음악 재생")</f>
        <v>음악 재생</v>
      </c>
      <c r="C418" s="1">
        <v>10020</v>
      </c>
      <c r="D418" s="1">
        <v>2.2999999999999998</v>
      </c>
      <c r="E418" s="1" t="str">
        <f ca="1">IFERROR(__xludf.DUMMYFUNCTION("GOOGLETRANSLATE(E418, ""en"", ""ko"")"),"첼로, 앉아")</f>
        <v>첼로, 앉아</v>
      </c>
      <c r="M418" s="1"/>
      <c r="O418" s="1"/>
    </row>
    <row r="419" spans="1:15" ht="16.5" customHeight="1">
      <c r="A419" s="1">
        <v>417</v>
      </c>
      <c r="B419" s="1" t="str">
        <f ca="1">IFERROR(__xludf.DUMMYFUNCTION("GOOGLETRANSLATE(B419, ""en"", ""ko"")"),"음악 재생")</f>
        <v>음악 재생</v>
      </c>
      <c r="C419" s="1">
        <v>10030</v>
      </c>
      <c r="D419" s="1">
        <v>2.2999999999999998</v>
      </c>
      <c r="E419" s="1" t="str">
        <f ca="1">IFERROR(__xludf.DUMMYFUNCTION("GOOGLETRANSLATE(E419, ""en"", ""ko"")"),"지휘 오케스트라, 스탠딩")</f>
        <v>지휘 오케스트라, 스탠딩</v>
      </c>
      <c r="M419" s="1"/>
      <c r="O419" s="1"/>
    </row>
    <row r="420" spans="1:15" ht="16.5" customHeight="1">
      <c r="A420" s="1">
        <v>418</v>
      </c>
      <c r="B420" s="1" t="str">
        <f ca="1">IFERROR(__xludf.DUMMYFUNCTION("GOOGLETRANSLATE(B420, ""en"", ""ko"")"),"음악 재생")</f>
        <v>음악 재생</v>
      </c>
      <c r="C420" s="1">
        <v>10035</v>
      </c>
      <c r="D420" s="1">
        <v>2.5</v>
      </c>
      <c r="E420" s="1" t="str">
        <f ca="1">IFERROR(__xludf.DUMMYFUNCTION("GOOGLETRANSLATE(E420, ""en"", ""ko"")"),"더블베이스, 스탠딩")</f>
        <v>더블베이스, 스탠딩</v>
      </c>
      <c r="M420" s="1"/>
      <c r="O420" s="1"/>
    </row>
    <row r="421" spans="1:15" ht="16.5" customHeight="1">
      <c r="A421" s="1">
        <v>419</v>
      </c>
      <c r="B421" s="1" t="str">
        <f ca="1">IFERROR(__xludf.DUMMYFUNCTION("GOOGLETRANSLATE(B421, ""en"", ""ko"")"),"음악 재생")</f>
        <v>음악 재생</v>
      </c>
      <c r="C421" s="1">
        <v>10040</v>
      </c>
      <c r="D421" s="1">
        <v>3.8</v>
      </c>
      <c r="E421" s="1" t="str">
        <f ca="1">IFERROR(__xludf.DUMMYFUNCTION("GOOGLETRANSLATE(E421, ""en"", ""ko"")"),"드럼, 앉아")</f>
        <v>드럼, 앉아</v>
      </c>
      <c r="M421" s="1"/>
      <c r="O421" s="1"/>
    </row>
    <row r="422" spans="1:15" ht="16.5" customHeight="1">
      <c r="A422" s="1">
        <v>420</v>
      </c>
      <c r="B422" s="1" t="str">
        <f ca="1">IFERROR(__xludf.DUMMYFUNCTION("GOOGLETRANSLATE(B422, ""en"", ""ko"")"),"음악 재생")</f>
        <v>음악 재생</v>
      </c>
      <c r="C422" s="1">
        <v>10045</v>
      </c>
      <c r="D422" s="1">
        <v>3</v>
      </c>
      <c r="E422" s="1" t="str">
        <f ca="1">IFERROR(__xludf.DUMMYFUNCTION("GOOGLETRANSLATE(E422, ""en"", ""ko"")"),"드럼 연주(예: 봉고, 콩가, 벤베), 중간, 앉아서")</f>
        <v>드럼 연주(예: 봉고, 콩가, 벤베), 중간, 앉아서</v>
      </c>
      <c r="M422" s="1"/>
      <c r="O422" s="1"/>
    </row>
    <row r="423" spans="1:15" ht="16.5" customHeight="1">
      <c r="A423" s="1">
        <v>421</v>
      </c>
      <c r="B423" s="1" t="str">
        <f ca="1">IFERROR(__xludf.DUMMYFUNCTION("GOOGLETRANSLATE(B423, ""en"", ""ko"")"),"음악 재생")</f>
        <v>음악 재생</v>
      </c>
      <c r="C423" s="1">
        <v>10048</v>
      </c>
      <c r="D423" s="1">
        <v>8.3000000000000007</v>
      </c>
      <c r="E423" s="1" t="str">
        <f ca="1">IFERROR(__xludf.DUMMYFUNCTION("GOOGLETRANSLATE(E423, ""en"", ""ko"")"),"드럼 연주, 콘서트/라이브 쇼")</f>
        <v>드럼 연주, 콘서트/라이브 쇼</v>
      </c>
      <c r="M423" s="1"/>
      <c r="O423" s="1"/>
    </row>
    <row r="424" spans="1:15" ht="16.5" customHeight="1">
      <c r="A424" s="1">
        <v>422</v>
      </c>
      <c r="B424" s="1" t="str">
        <f ca="1">IFERROR(__xludf.DUMMYFUNCTION("GOOGLETRANSLATE(B424, ""en"", ""ko"")"),"음악 재생")</f>
        <v>음악 재생</v>
      </c>
      <c r="C424" s="1">
        <v>10050</v>
      </c>
      <c r="D424" s="1">
        <v>2</v>
      </c>
      <c r="E424" s="1" t="str">
        <f ca="1">IFERROR(__xludf.DUMMYFUNCTION("GOOGLETRANSLATE(E424, ""en"", ""ko"")"),"플루트, 앉아서")</f>
        <v>플루트, 앉아서</v>
      </c>
      <c r="M424" s="1"/>
      <c r="O424" s="1"/>
    </row>
    <row r="425" spans="1:15" ht="16.5" customHeight="1">
      <c r="A425" s="1">
        <v>423</v>
      </c>
      <c r="B425" s="1" t="str">
        <f ca="1">IFERROR(__xludf.DUMMYFUNCTION("GOOGLETRANSLATE(B425, ""en"", ""ko"")"),"음악 재생")</f>
        <v>음악 재생</v>
      </c>
      <c r="C425" s="1">
        <v>10060</v>
      </c>
      <c r="D425" s="1">
        <v>1.8</v>
      </c>
      <c r="E425" s="1" t="str">
        <f ca="1">IFERROR(__xludf.DUMMYFUNCTION("GOOGLETRANSLATE(E425, ""en"", ""ko"")"),"호른, 서 있음")</f>
        <v>호른, 서 있음</v>
      </c>
      <c r="M425" s="1"/>
      <c r="O425" s="1"/>
    </row>
    <row r="426" spans="1:15" ht="16.5" customHeight="1">
      <c r="A426" s="1">
        <v>424</v>
      </c>
      <c r="B426" s="1" t="str">
        <f ca="1">IFERROR(__xludf.DUMMYFUNCTION("GOOGLETRANSLATE(B426, ""en"", ""ko"")"),"음악 재생")</f>
        <v>음악 재생</v>
      </c>
      <c r="C426" s="1">
        <v>10070</v>
      </c>
      <c r="D426" s="1">
        <v>2.2999999999999998</v>
      </c>
      <c r="E426" s="1" t="str">
        <f ca="1">IFERROR(__xludf.DUMMYFUNCTION("GOOGLETRANSLATE(E426, ""en"", ""ko"")"),"피아노, 앉아서")</f>
        <v>피아노, 앉아서</v>
      </c>
      <c r="M426" s="1"/>
      <c r="O426" s="1"/>
    </row>
    <row r="427" spans="1:15" ht="16.5" customHeight="1">
      <c r="A427" s="1">
        <v>425</v>
      </c>
      <c r="B427" s="1" t="str">
        <f ca="1">IFERROR(__xludf.DUMMYFUNCTION("GOOGLETRANSLATE(B427, ""en"", ""ko"")"),"음악 재생")</f>
        <v>음악 재생</v>
      </c>
      <c r="C427" s="1">
        <v>10074</v>
      </c>
      <c r="D427" s="1">
        <v>2</v>
      </c>
      <c r="E427" s="1" t="str">
        <f ca="1">IFERROR(__xludf.DUMMYFUNCTION("GOOGLETRANSLATE(E427, ""en"", ""ko"")"),"악기 연주, 일반")</f>
        <v>악기 연주, 일반</v>
      </c>
      <c r="M427" s="1"/>
      <c r="O427" s="1"/>
    </row>
    <row r="428" spans="1:15" ht="16.5" customHeight="1">
      <c r="A428" s="1">
        <v>426</v>
      </c>
      <c r="B428" s="1" t="str">
        <f ca="1">IFERROR(__xludf.DUMMYFUNCTION("GOOGLETRANSLATE(B428, ""en"", ""ko"")"),"음악 재생")</f>
        <v>음악 재생</v>
      </c>
      <c r="C428" s="1">
        <v>10077</v>
      </c>
      <c r="D428" s="1">
        <v>2</v>
      </c>
      <c r="E428" s="1" t="str">
        <f ca="1">IFERROR(__xludf.DUMMYFUNCTION("GOOGLETRANSLATE(E428, ""en"", ""ko"")"),"오르간, 앉아")</f>
        <v>오르간, 앉아</v>
      </c>
      <c r="M428" s="1"/>
      <c r="O428" s="1"/>
    </row>
    <row r="429" spans="1:15" ht="16.5" customHeight="1">
      <c r="A429" s="1">
        <v>427</v>
      </c>
      <c r="B429" s="1" t="str">
        <f ca="1">IFERROR(__xludf.DUMMYFUNCTION("GOOGLETRANSLATE(B429, ""en"", ""ko"")"),"음악 재생")</f>
        <v>음악 재생</v>
      </c>
      <c r="C429" s="1">
        <v>10080</v>
      </c>
      <c r="D429" s="1">
        <v>3.5</v>
      </c>
      <c r="E429" s="1" t="str">
        <f ca="1">IFERROR(__xludf.DUMMYFUNCTION("GOOGLETRANSLATE(E429, ""en"", ""ko"")"),"트롬본, 스탠딩")</f>
        <v>트롬본, 스탠딩</v>
      </c>
      <c r="M429" s="1"/>
      <c r="O429" s="1"/>
    </row>
    <row r="430" spans="1:15" ht="16.5" customHeight="1">
      <c r="A430" s="1">
        <v>428</v>
      </c>
      <c r="B430" s="1" t="str">
        <f ca="1">IFERROR(__xludf.DUMMYFUNCTION("GOOGLETRANSLATE(B430, ""en"", ""ko"")"),"음악 재생")</f>
        <v>음악 재생</v>
      </c>
      <c r="C430" s="1">
        <v>10090</v>
      </c>
      <c r="D430" s="1">
        <v>2.5</v>
      </c>
      <c r="E430" s="1" t="str">
        <f ca="1">IFERROR(__xludf.DUMMYFUNCTION("GOOGLETRANSLATE(E430, ""en"", ""ko"")"),"트럼펫, 스탠딩")</f>
        <v>트럼펫, 스탠딩</v>
      </c>
      <c r="M430" s="1"/>
      <c r="O430" s="1"/>
    </row>
    <row r="431" spans="1:15" ht="16.5" customHeight="1">
      <c r="A431" s="1">
        <v>429</v>
      </c>
      <c r="B431" s="1" t="str">
        <f ca="1">IFERROR(__xludf.DUMMYFUNCTION("GOOGLETRANSLATE(B431, ""en"", ""ko"")"),"음악 재생")</f>
        <v>음악 재생</v>
      </c>
      <c r="C431" s="1">
        <v>10100</v>
      </c>
      <c r="D431" s="1">
        <v>2.5</v>
      </c>
      <c r="E431" s="1" t="str">
        <f ca="1">IFERROR(__xludf.DUMMYFUNCTION("GOOGLETRANSLATE(E431, ""en"", ""ko"")"),"바이올린, 앉아")</f>
        <v>바이올린, 앉아</v>
      </c>
      <c r="M431" s="1"/>
      <c r="O431" s="1"/>
    </row>
    <row r="432" spans="1:15" ht="16.5" customHeight="1">
      <c r="A432" s="1">
        <v>430</v>
      </c>
      <c r="B432" s="1" t="str">
        <f ca="1">IFERROR(__xludf.DUMMYFUNCTION("GOOGLETRANSLATE(B432, ""en"", ""ko"")"),"음악 재생")</f>
        <v>음악 재생</v>
      </c>
      <c r="C432" s="1">
        <v>10110</v>
      </c>
      <c r="D432" s="1">
        <v>1.8</v>
      </c>
      <c r="E432" s="1" t="str">
        <f ca="1">IFERROR(__xludf.DUMMYFUNCTION("GOOGLETRANSLATE(E432, ""en"", ""ko"")"),"목관악기, 앉아서")</f>
        <v>목관악기, 앉아서</v>
      </c>
      <c r="M432" s="1"/>
      <c r="O432" s="1"/>
    </row>
    <row r="433" spans="1:15" ht="16.5" customHeight="1">
      <c r="A433" s="1">
        <v>431</v>
      </c>
      <c r="B433" s="1" t="str">
        <f ca="1">IFERROR(__xludf.DUMMYFUNCTION("GOOGLETRANSLATE(B433, ""en"", ""ko"")"),"음악 재생")</f>
        <v>음악 재생</v>
      </c>
      <c r="C433" s="1">
        <v>10115</v>
      </c>
      <c r="D433" s="1">
        <v>1.8</v>
      </c>
      <c r="E433" s="1" t="str">
        <f ca="1">IFERROR(__xludf.DUMMYFUNCTION("GOOGLETRANSLATE(E433, ""en"", ""ko"")"),"금관악기, 앉아")</f>
        <v>금관악기, 앉아</v>
      </c>
      <c r="M433" s="1"/>
      <c r="O433" s="1"/>
    </row>
    <row r="434" spans="1:15" ht="16.5" customHeight="1">
      <c r="A434" s="1">
        <v>432</v>
      </c>
      <c r="B434" s="1" t="str">
        <f ca="1">IFERROR(__xludf.DUMMYFUNCTION("GOOGLETRANSLATE(B434, ""en"", ""ko"")"),"음악 재생")</f>
        <v>음악 재생</v>
      </c>
      <c r="C434" s="1">
        <v>10120</v>
      </c>
      <c r="D434" s="1">
        <v>2</v>
      </c>
      <c r="E434" s="1" t="str">
        <f ca="1">IFERROR(__xludf.DUMMYFUNCTION("GOOGLETRANSLATE(E434, ""en"", ""ko"")"),"기타, 클래식, 포크, 앉아서 연주")</f>
        <v>기타, 클래식, 포크, 앉아서 연주</v>
      </c>
      <c r="M434" s="1"/>
      <c r="O434" s="1"/>
    </row>
    <row r="435" spans="1:15" ht="16.5" customHeight="1">
      <c r="A435" s="1">
        <v>433</v>
      </c>
      <c r="B435" s="1" t="str">
        <f ca="1">IFERROR(__xludf.DUMMYFUNCTION("GOOGLETRANSLATE(B435, ""en"", ""ko"")"),"음악 재생")</f>
        <v>음악 재생</v>
      </c>
      <c r="C435" s="1">
        <v>10125</v>
      </c>
      <c r="D435" s="1">
        <v>3</v>
      </c>
      <c r="E435" s="1" t="str">
        <f ca="1">IFERROR(__xludf.DUMMYFUNCTION("GOOGLETRANSLATE(E435, ""en"", ""ko"")"),"기타, 록앤롤 밴드, 스탠딩")</f>
        <v>기타, 록앤롤 밴드, 스탠딩</v>
      </c>
      <c r="M435" s="1"/>
      <c r="O435" s="1"/>
    </row>
    <row r="436" spans="1:15" ht="16.5" customHeight="1">
      <c r="A436" s="1">
        <v>434</v>
      </c>
      <c r="B436" s="1" t="str">
        <f ca="1">IFERROR(__xludf.DUMMYFUNCTION("GOOGLETRANSLATE(B436, ""en"", ""ko"")"),"음악 재생")</f>
        <v>음악 재생</v>
      </c>
      <c r="C436" s="1">
        <v>10130</v>
      </c>
      <c r="D436" s="1">
        <v>4</v>
      </c>
      <c r="E436" s="1" t="str">
        <f ca="1">IFERROR(__xludf.DUMMYFUNCTION("GOOGLETRANSLATE(E436, ""en"", ""ko"")"),"행진 밴드, 배턴 돌리기, 걷기, 중간 속도, 일반")</f>
        <v>행진 밴드, 배턴 돌리기, 걷기, 중간 속도, 일반</v>
      </c>
      <c r="M436" s="1"/>
      <c r="O436" s="1"/>
    </row>
    <row r="437" spans="1:15" ht="16.5" customHeight="1">
      <c r="A437" s="1">
        <v>435</v>
      </c>
      <c r="B437" s="1" t="str">
        <f ca="1">IFERROR(__xludf.DUMMYFUNCTION("GOOGLETRANSLATE(B437, ""en"", ""ko"")"),"음악 재생")</f>
        <v>음악 재생</v>
      </c>
      <c r="C437" s="1">
        <v>10131</v>
      </c>
      <c r="D437" s="1">
        <v>5.5</v>
      </c>
      <c r="E437" s="1" t="str">
        <f ca="1">IFERROR(__xludf.DUMMYFUNCTION("GOOGLETRANSLATE(E437, ""en"", ""ko"")"),"행진 밴드, 악기 연주, 걷기, 빠른 걸음, 일반")</f>
        <v>행진 밴드, 악기 연주, 걷기, 빠른 걸음, 일반</v>
      </c>
      <c r="M437" s="1"/>
      <c r="O437" s="1"/>
    </row>
    <row r="438" spans="1:15" ht="16.5" customHeight="1">
      <c r="A438" s="1">
        <v>436</v>
      </c>
      <c r="B438" s="1" t="str">
        <f ca="1">IFERROR(__xludf.DUMMYFUNCTION("GOOGLETRANSLATE(B438, ""en"", ""ko"")"),"음악 재생")</f>
        <v>음악 재생</v>
      </c>
      <c r="C438" s="1">
        <v>10135</v>
      </c>
      <c r="D438" s="1">
        <v>3.5</v>
      </c>
      <c r="E438" s="1" t="str">
        <f ca="1">IFERROR(__xludf.DUMMYFUNCTION("GOOGLETRANSLATE(E438, ""en"", ""ko"")"),"행진 밴드, 드럼 메이저, 걷기")</f>
        <v>행진 밴드, 드럼 메이저, 걷기</v>
      </c>
      <c r="M438" s="1"/>
      <c r="O438" s="1"/>
    </row>
    <row r="439" spans="1:15" ht="16.5" customHeight="1">
      <c r="A439" s="1">
        <v>437</v>
      </c>
      <c r="B439" s="1" t="str">
        <f ca="1">IFERROR(__xludf.DUMMYFUNCTION("GOOGLETRANSLATE(B439, ""en"", ""ko"")"),"직업")</f>
        <v>직업</v>
      </c>
      <c r="C439" s="1">
        <v>11000</v>
      </c>
      <c r="D439" s="1">
        <v>2</v>
      </c>
      <c r="E439" s="1" t="str">
        <f ca="1">IFERROR(__xludf.DUMMYFUNCTION("GOOGLETRANSLATE(E439, ""en"", ""ko"")"),"액티브 워크스테이션, 페달 데스크, 밸런스 의자/볼, 일반, 가벼운 노력")</f>
        <v>액티브 워크스테이션, 페달 데스크, 밸런스 의자/볼, 일반, 가벼운 노력</v>
      </c>
      <c r="M439" s="1"/>
      <c r="O439" s="1"/>
    </row>
    <row r="440" spans="1:15" ht="16.5" customHeight="1">
      <c r="A440" s="1">
        <v>438</v>
      </c>
      <c r="B440" s="1" t="str">
        <f ca="1">IFERROR(__xludf.DUMMYFUNCTION("GOOGLETRANSLATE(B440, ""en"", ""ko"")"),"직업")</f>
        <v>직업</v>
      </c>
      <c r="C440" s="1">
        <v>11001</v>
      </c>
      <c r="D440" s="1">
        <v>3.5</v>
      </c>
      <c r="E440" s="1" t="str">
        <f ca="1">IFERROR(__xludf.DUMMYFUNCTION("GOOGLETRANSLATE(E440, ""en"", ""ko"")"),"액티브 워크스테이션, 페달 데스크(40와트)")</f>
        <v>액티브 워크스테이션, 페달 데스크(40와트)</v>
      </c>
      <c r="M440" s="1"/>
      <c r="O440" s="1"/>
    </row>
    <row r="441" spans="1:15" ht="16.5" customHeight="1">
      <c r="A441" s="1">
        <v>439</v>
      </c>
      <c r="B441" s="1" t="str">
        <f ca="1">IFERROR(__xludf.DUMMYFUNCTION("GOOGLETRANSLATE(B441, ""en"", ""ko"")"),"직업")</f>
        <v>직업</v>
      </c>
      <c r="C441" s="1">
        <v>11002</v>
      </c>
      <c r="D441" s="1">
        <v>5.3</v>
      </c>
      <c r="E441" s="1" t="str">
        <f ca="1">IFERROR(__xludf.DUMMYFUNCTION("GOOGLETRANSLATE(E441, ""en"", ""ko"")"),"액티브 워크스테이션, 페달 데스크(80와트)")</f>
        <v>액티브 워크스테이션, 페달 데스크(80와트)</v>
      </c>
      <c r="M441" s="1"/>
      <c r="O441" s="1"/>
    </row>
    <row r="442" spans="1:15" ht="16.5" customHeight="1">
      <c r="A442" s="1">
        <v>440</v>
      </c>
      <c r="B442" s="1" t="str">
        <f ca="1">IFERROR(__xludf.DUMMYFUNCTION("GOOGLETRANSLATE(B442, ""en"", ""ko"")"),"직업")</f>
        <v>직업</v>
      </c>
      <c r="C442" s="1">
        <v>11003</v>
      </c>
      <c r="D442" s="1">
        <v>2</v>
      </c>
      <c r="E442" s="1" t="str">
        <f ca="1">IFERROR(__xludf.DUMMYFUNCTION("GOOGLETRANSLATE(E442, ""en"", ""ko"")"),"활동적인 작업 공간, 러닝머신 책상, 시속 1.0mile 이하로 천천히 걷기")</f>
        <v>활동적인 작업 공간, 러닝머신 책상, 시속 1.0mile 이하로 천천히 걷기</v>
      </c>
      <c r="M442" s="1"/>
      <c r="O442" s="1"/>
    </row>
    <row r="443" spans="1:15" ht="16.5" customHeight="1">
      <c r="A443" s="1">
        <v>441</v>
      </c>
      <c r="B443" s="1" t="str">
        <f ca="1">IFERROR(__xludf.DUMMYFUNCTION("GOOGLETRANSLATE(B443, ""en"", ""ko"")"),"직업")</f>
        <v>직업</v>
      </c>
      <c r="C443" s="1">
        <v>11004</v>
      </c>
      <c r="D443" s="1">
        <v>2.8</v>
      </c>
      <c r="E443" s="1" t="str">
        <f ca="1">IFERROR(__xludf.DUMMYFUNCTION("GOOGLETRANSLATE(E443, ""en"", ""ko"")"),"활동적인 워크스테이션, 러닝머신 데스크, 1.0~2.0mph 걷기")</f>
        <v>활동적인 워크스테이션, 러닝머신 데스크, 1.0~2.0mph 걷기</v>
      </c>
      <c r="M443" s="1"/>
      <c r="O443" s="1"/>
    </row>
    <row r="444" spans="1:15" ht="16.5" customHeight="1">
      <c r="A444" s="1">
        <v>442</v>
      </c>
      <c r="B444" s="1" t="str">
        <f ca="1">IFERROR(__xludf.DUMMYFUNCTION("GOOGLETRANSLATE(B444, ""en"", ""ko"")"),"직업")</f>
        <v>직업</v>
      </c>
      <c r="C444" s="1">
        <v>11006</v>
      </c>
      <c r="D444" s="1">
        <v>3</v>
      </c>
      <c r="E444" s="1" t="str">
        <f ca="1">IFERROR(__xludf.DUMMYFUNCTION("GOOGLETRANSLATE(E444, ""en"", ""ko"")"),"항공사 승무원")</f>
        <v>항공사 승무원</v>
      </c>
      <c r="M444" s="1"/>
      <c r="O444" s="1"/>
    </row>
    <row r="445" spans="1:15" ht="16.5" customHeight="1">
      <c r="A445" s="1">
        <v>443</v>
      </c>
      <c r="B445" s="1" t="str">
        <f ca="1">IFERROR(__xludf.DUMMYFUNCTION("GOOGLETRANSLATE(B445, ""en"", ""ko"")"),"직업")</f>
        <v>직업</v>
      </c>
      <c r="C445" s="1">
        <v>11008</v>
      </c>
      <c r="D445" s="1">
        <v>4.8</v>
      </c>
      <c r="E445" s="1" t="str">
        <f ca="1">IFERROR(__xludf.DUMMYFUNCTION("GOOGLETRANSLATE(E445, ""en"", ""ko"")"),"사과 수확")</f>
        <v>사과 수확</v>
      </c>
      <c r="M445" s="1"/>
      <c r="O445" s="1"/>
    </row>
    <row r="446" spans="1:15" ht="16.5" customHeight="1">
      <c r="A446" s="1">
        <v>444</v>
      </c>
      <c r="B446" s="1" t="str">
        <f ca="1">IFERROR(__xludf.DUMMYFUNCTION("GOOGLETRANSLATE(B446, ""en"", ""ko"")"),"직업")</f>
        <v>직업</v>
      </c>
      <c r="C446" s="1">
        <v>11010</v>
      </c>
      <c r="D446" s="1">
        <v>4</v>
      </c>
      <c r="E446" s="1" t="str">
        <f ca="1">IFERROR(__xludf.DUMMYFUNCTION("GOOGLETRANSLATE(E446, ""en"", ""ko"")"),"베이커리, 일반, 중간 노력")</f>
        <v>베이커리, 일반, 중간 노력</v>
      </c>
      <c r="M446" s="1"/>
      <c r="O446" s="1"/>
    </row>
    <row r="447" spans="1:15" ht="16.5" customHeight="1">
      <c r="A447" s="1">
        <v>445</v>
      </c>
      <c r="B447" s="1" t="str">
        <f ca="1">IFERROR(__xludf.DUMMYFUNCTION("GOOGLETRANSLATE(B447, ""en"", ""ko"")"),"직업")</f>
        <v>직업</v>
      </c>
      <c r="C447" s="1">
        <v>11015</v>
      </c>
      <c r="D447" s="1">
        <v>2</v>
      </c>
      <c r="E447" s="1" t="str">
        <f ca="1">IFERROR(__xludf.DUMMYFUNCTION("GOOGLETRANSLATE(E447, ""en"", ""ko"")"),"베이커리, 가벼운 노력")</f>
        <v>베이커리, 가벼운 노력</v>
      </c>
      <c r="M447" s="1"/>
      <c r="O447" s="1"/>
    </row>
    <row r="448" spans="1:15" ht="16.5" customHeight="1">
      <c r="A448" s="1">
        <v>446</v>
      </c>
      <c r="B448" s="1" t="str">
        <f ca="1">IFERROR(__xludf.DUMMYFUNCTION("GOOGLETRANSLATE(B448, ""en"", ""ko"")"),"직업")</f>
        <v>직업</v>
      </c>
      <c r="C448" s="1">
        <v>11020</v>
      </c>
      <c r="D448" s="1">
        <v>2.2999999999999998</v>
      </c>
      <c r="E448" s="1" t="str">
        <f ca="1">IFERROR(__xludf.DUMMYFUNCTION("GOOGLETRANSLATE(E448, ""en"", ""ko"")"),"제본")</f>
        <v>제본</v>
      </c>
      <c r="M448" s="1"/>
      <c r="O448" s="1"/>
    </row>
    <row r="449" spans="1:15" ht="16.5" customHeight="1">
      <c r="A449" s="1">
        <v>447</v>
      </c>
      <c r="B449" s="1" t="str">
        <f ca="1">IFERROR(__xludf.DUMMYFUNCTION("GOOGLETRANSLATE(B449, ""en"", ""ko"")"),"직업")</f>
        <v>직업</v>
      </c>
      <c r="C449" s="1">
        <v>11030</v>
      </c>
      <c r="D449" s="1">
        <v>6</v>
      </c>
      <c r="E449" s="1" t="str">
        <f ca="1">IFERROR(__xludf.DUMMYFUNCTION("GOOGLETRANSLATE(E449, ""en"", ""ko"")"),"도로 건설, 중장비 운전")</f>
        <v>도로 건설, 중장비 운전</v>
      </c>
      <c r="M449" s="1"/>
      <c r="O449" s="1"/>
    </row>
    <row r="450" spans="1:15" ht="16.5" customHeight="1">
      <c r="A450" s="1">
        <v>448</v>
      </c>
      <c r="B450" s="1" t="str">
        <f ca="1">IFERROR(__xludf.DUMMYFUNCTION("GOOGLETRANSLATE(B450, ""en"", ""ko"")"),"직업")</f>
        <v>직업</v>
      </c>
      <c r="C450" s="1">
        <v>11035</v>
      </c>
      <c r="D450" s="1">
        <v>2</v>
      </c>
      <c r="E450" s="1" t="str">
        <f ca="1">IFERROR(__xludf.DUMMYFUNCTION("GOOGLETRANSLATE(E450, ""en"", ""ko"")"),"도로 건설, 교통 유도, 서 있음")</f>
        <v>도로 건설, 교통 유도, 서 있음</v>
      </c>
      <c r="M450" s="1"/>
      <c r="O450" s="1"/>
    </row>
    <row r="451" spans="1:15" ht="16.5" customHeight="1">
      <c r="A451" s="1">
        <v>449</v>
      </c>
      <c r="B451" s="1" t="str">
        <f ca="1">IFERROR(__xludf.DUMMYFUNCTION("GOOGLETRANSLATE(B451, ""en"", ""ko"")"),"직업")</f>
        <v>직업</v>
      </c>
      <c r="C451" s="1">
        <v>11038</v>
      </c>
      <c r="D451" s="1">
        <v>2.5</v>
      </c>
      <c r="E451" s="1" t="str">
        <f ca="1">IFERROR(__xludf.DUMMYFUNCTION("GOOGLETRANSLATE(E451, ""en"", ""ko"")"),"목공, 일반, 가벼운 노력")</f>
        <v>목공, 일반, 가벼운 노력</v>
      </c>
      <c r="M451" s="1"/>
      <c r="O451" s="1"/>
    </row>
    <row r="452" spans="1:15" ht="16.5" customHeight="1">
      <c r="A452" s="1">
        <v>450</v>
      </c>
      <c r="B452" s="1" t="str">
        <f ca="1">IFERROR(__xludf.DUMMYFUNCTION("GOOGLETRANSLATE(B452, ""en"", ""ko"")"),"직업")</f>
        <v>직업</v>
      </c>
      <c r="C452" s="1">
        <v>11040</v>
      </c>
      <c r="D452" s="1">
        <v>4.3</v>
      </c>
      <c r="E452" s="1" t="str">
        <f ca="1">IFERROR(__xludf.DUMMYFUNCTION("GOOGLETRANSLATE(E452, ""en"", ""ko"")"),"목공, 일반, 중간 노력")</f>
        <v>목공, 일반, 중간 노력</v>
      </c>
      <c r="M452" s="1"/>
      <c r="O452" s="1"/>
    </row>
    <row r="453" spans="1:15" ht="16.5" customHeight="1">
      <c r="A453" s="1">
        <v>451</v>
      </c>
      <c r="B453" s="1" t="str">
        <f ca="1">IFERROR(__xludf.DUMMYFUNCTION("GOOGLETRANSLATE(B453, ""en"", ""ko"")"),"직업")</f>
        <v>직업</v>
      </c>
      <c r="C453" s="1">
        <v>11042</v>
      </c>
      <c r="D453" s="1">
        <v>7</v>
      </c>
      <c r="E453" s="1" t="str">
        <f ca="1">IFERROR(__xludf.DUMMYFUNCTION("GOOGLETRANSLATE(E453, ""en"", ""ko"")"),"목공, 일반, 무거운 또는 격렬한 노력")</f>
        <v>목공, 일반, 무거운 또는 격렬한 노력</v>
      </c>
      <c r="M453" s="1"/>
      <c r="O453" s="1"/>
    </row>
    <row r="454" spans="1:15" ht="16.5" customHeight="1">
      <c r="A454" s="1">
        <v>452</v>
      </c>
      <c r="B454" s="1" t="str">
        <f ca="1">IFERROR(__xludf.DUMMYFUNCTION("GOOGLETRANSLATE(B454, ""en"", ""ko"")"),"직업")</f>
        <v>직업</v>
      </c>
      <c r="C454" s="1">
        <v>11050</v>
      </c>
      <c r="D454" s="1">
        <v>8</v>
      </c>
      <c r="E454" s="1" t="str">
        <f ca="1">IFERROR(__xludf.DUMMYFUNCTION("GOOGLETRANSLATE(E454, ""en"", ""ko"")"),"무거운 짐(예: 벽돌, 도구)을 운반하는 것")</f>
        <v>무거운 짐(예: 벽돌, 도구)을 운반하는 것</v>
      </c>
      <c r="M454" s="1"/>
      <c r="O454" s="1"/>
    </row>
    <row r="455" spans="1:15" ht="16.5" customHeight="1">
      <c r="A455" s="1">
        <v>453</v>
      </c>
      <c r="B455" s="1" t="str">
        <f ca="1">IFERROR(__xludf.DUMMYFUNCTION("GOOGLETRANSLATE(B455, ""en"", ""ko"")"),"직업")</f>
        <v>직업</v>
      </c>
      <c r="C455" s="1">
        <v>11060</v>
      </c>
      <c r="D455" s="1">
        <v>8</v>
      </c>
      <c r="E455" s="1" t="str">
        <f ca="1">IFERROR(__xludf.DUMMYFUNCTION("GOOGLETRANSLATE(E455, ""en"", ""ko"")"),"중간 정도의 무게를 계단 위로 옮기고, 상자를 옮기는 경우, 25-49poud")</f>
        <v>중간 정도의 무게를 계단 위로 옮기고, 상자를 옮기는 경우, 25-49poud</v>
      </c>
      <c r="M455" s="1"/>
      <c r="O455" s="1"/>
    </row>
    <row r="456" spans="1:15" ht="16.5" customHeight="1">
      <c r="A456" s="1">
        <v>454</v>
      </c>
      <c r="B456" s="1" t="str">
        <f ca="1">IFERROR(__xludf.DUMMYFUNCTION("GOOGLETRANSLATE(B456, ""en"", ""ko"")"),"직업")</f>
        <v>직업</v>
      </c>
      <c r="C456" s="1">
        <v>11070</v>
      </c>
      <c r="D456" s="1">
        <v>4</v>
      </c>
      <c r="E456" s="1" t="str">
        <f ca="1">IFERROR(__xludf.DUMMYFUNCTION("GOOGLETRANSLATE(E456, ""en"", ""ko"")"),"객실 청소부, 호텔 가정부, 침대 정리, 욕실 청소, 카트 밀기")</f>
        <v>객실 청소부, 호텔 가정부, 침대 정리, 욕실 청소, 카트 밀기</v>
      </c>
      <c r="M456" s="1"/>
      <c r="O456" s="1"/>
    </row>
    <row r="457" spans="1:15" ht="16.5" customHeight="1">
      <c r="A457" s="1">
        <v>455</v>
      </c>
      <c r="B457" s="1" t="str">
        <f ca="1">IFERROR(__xludf.DUMMYFUNCTION("GOOGLETRANSLATE(B457, ""en"", ""ko"")"),"직업")</f>
        <v>직업</v>
      </c>
      <c r="C457" s="1">
        <v>11072</v>
      </c>
      <c r="D457" s="1">
        <v>4.3</v>
      </c>
      <c r="E457" s="1" t="str">
        <f ca="1">IFERROR(__xludf.DUMMYFUNCTION("GOOGLETRANSLATE(E457, ""en"", ""ko"")"),"상업 공간 청소, 진공 청소")</f>
        <v>상업 공간 청소, 진공 청소</v>
      </c>
      <c r="M457" s="1"/>
      <c r="O457" s="1"/>
    </row>
    <row r="458" spans="1:15" ht="16.5" customHeight="1">
      <c r="A458" s="1">
        <v>456</v>
      </c>
      <c r="B458" s="1" t="str">
        <f ca="1">IFERROR(__xludf.DUMMYFUNCTION("GOOGLETRANSLATE(B458, ""en"", ""ko"")"),"직업")</f>
        <v>직업</v>
      </c>
      <c r="C458" s="1">
        <v>11080</v>
      </c>
      <c r="D458" s="1">
        <v>5.3</v>
      </c>
      <c r="E458" s="1" t="str">
        <f ca="1">IFERROR(__xludf.DUMMYFUNCTION("GOOGLETRANSLATE(E458, ""en"", ""ko"")"),"석탄 채굴, 석탄 시추, 암석")</f>
        <v>석탄 채굴, 석탄 시추, 암석</v>
      </c>
      <c r="M458" s="1"/>
      <c r="O458" s="1"/>
    </row>
    <row r="459" spans="1:15" ht="16.5" customHeight="1">
      <c r="A459" s="1">
        <v>457</v>
      </c>
      <c r="B459" s="1" t="str">
        <f ca="1">IFERROR(__xludf.DUMMYFUNCTION("GOOGLETRANSLATE(B459, ""en"", ""ko"")"),"직업")</f>
        <v>직업</v>
      </c>
      <c r="C459" s="1">
        <v>11090</v>
      </c>
      <c r="D459" s="1">
        <v>5</v>
      </c>
      <c r="E459" s="1" t="str">
        <f ca="1">IFERROR(__xludf.DUMMYFUNCTION("GOOGLETRANSLATE(E459, ""en"", ""ko"")"),"석탄 채굴, 지지대 설치")</f>
        <v>석탄 채굴, 지지대 설치</v>
      </c>
      <c r="M459" s="1"/>
      <c r="O459" s="1"/>
    </row>
    <row r="460" spans="1:15" ht="16.5" customHeight="1">
      <c r="A460" s="1">
        <v>458</v>
      </c>
      <c r="B460" s="1" t="str">
        <f ca="1">IFERROR(__xludf.DUMMYFUNCTION("GOOGLETRANSLATE(B460, ""en"", ""ko"")"),"직업")</f>
        <v>직업</v>
      </c>
      <c r="C460" s="1">
        <v>11100</v>
      </c>
      <c r="D460" s="1">
        <v>5.5</v>
      </c>
      <c r="E460" s="1" t="str">
        <f ca="1">IFERROR(__xludf.DUMMYFUNCTION("GOOGLETRANSLATE(E460, ""en"", ""ko"")"),"석탄 채굴, 일반")</f>
        <v>석탄 채굴, 일반</v>
      </c>
      <c r="M460" s="1"/>
      <c r="O460" s="1"/>
    </row>
    <row r="461" spans="1:15" ht="16.5" customHeight="1">
      <c r="A461" s="1">
        <v>459</v>
      </c>
      <c r="B461" s="1" t="str">
        <f ca="1">IFERROR(__xludf.DUMMYFUNCTION("GOOGLETRANSLATE(B461, ""en"", ""ko"")"),"직업")</f>
        <v>직업</v>
      </c>
      <c r="C461" s="1">
        <v>11110</v>
      </c>
      <c r="D461" s="1">
        <v>6.3</v>
      </c>
      <c r="E461" s="1" t="str">
        <f ca="1">IFERROR(__xludf.DUMMYFUNCTION("GOOGLETRANSLATE(E461, ""en"", ""ko"")"),"석탄 채굴, 석탄 삽질, 손으로")</f>
        <v>석탄 채굴, 석탄 삽질, 손으로</v>
      </c>
      <c r="M461" s="1"/>
      <c r="O461" s="1"/>
    </row>
    <row r="462" spans="1:15" ht="16.5" customHeight="1">
      <c r="A462" s="1">
        <v>460</v>
      </c>
      <c r="B462" s="1" t="str">
        <f ca="1">IFERROR(__xludf.DUMMYFUNCTION("GOOGLETRANSLATE(B462, ""en"", ""ko"")"),"직업")</f>
        <v>직업</v>
      </c>
      <c r="C462" s="1">
        <v>11115</v>
      </c>
      <c r="D462" s="1">
        <v>2.5</v>
      </c>
      <c r="E462" s="1" t="str">
        <f ca="1">IFERROR(__xludf.DUMMYFUNCTION("GOOGLETRANSLATE(E462, ""en"", ""ko"")"),"요리사, 셰프")</f>
        <v>요리사, 셰프</v>
      </c>
      <c r="M462" s="1"/>
      <c r="O462" s="1"/>
    </row>
    <row r="463" spans="1:15" ht="16.5" customHeight="1">
      <c r="A463" s="1">
        <v>461</v>
      </c>
      <c r="B463" s="1" t="str">
        <f ca="1">IFERROR(__xludf.DUMMYFUNCTION("GOOGLETRANSLATE(B463, ""en"", ""ko"")"),"직업")</f>
        <v>직업</v>
      </c>
      <c r="C463" s="1">
        <v>11120</v>
      </c>
      <c r="D463" s="1">
        <v>4</v>
      </c>
      <c r="E463" s="1" t="str">
        <f ca="1">IFERROR(__xludf.DUMMYFUNCTION("GOOGLETRANSLATE(E463, ""en"", ""ko"")"),"건설, 외부, 리모델링, 신규 구조물(예: 지붕 수리, 기타)")</f>
        <v>건설, 외부, 리모델링, 신규 구조물(예: 지붕 수리, 기타)</v>
      </c>
      <c r="M463" s="1"/>
      <c r="O463" s="1"/>
    </row>
    <row r="464" spans="1:15" ht="16.5" customHeight="1">
      <c r="A464" s="1">
        <v>462</v>
      </c>
      <c r="B464" s="1" t="str">
        <f ca="1">IFERROR(__xludf.DUMMYFUNCTION("GOOGLETRANSLATE(B464, ""en"", ""ko"")"),"직업")</f>
        <v>직업</v>
      </c>
      <c r="C464" s="1">
        <v>11124</v>
      </c>
      <c r="D464" s="1">
        <v>2.2999999999999998</v>
      </c>
      <c r="E464" s="1" t="str">
        <f ca="1">IFERROR(__xludf.DUMMYFUNCTION("GOOGLETRANSLATE(E464, ""en"", ""ko"")"),"건설, 철근, 막대 굽힘/고정")</f>
        <v>건설, 철근, 막대 굽힘/고정</v>
      </c>
      <c r="M464" s="1"/>
      <c r="O464" s="1"/>
    </row>
    <row r="465" spans="1:15" ht="16.5" customHeight="1">
      <c r="A465" s="1">
        <v>463</v>
      </c>
      <c r="B465" s="1" t="str">
        <f ca="1">IFERROR(__xludf.DUMMYFUNCTION("GOOGLETRANSLATE(B465, ""en"", ""ko"")"),"직업")</f>
        <v>직업</v>
      </c>
      <c r="C465" s="1">
        <v>11125</v>
      </c>
      <c r="D465" s="1">
        <v>2.2999999999999998</v>
      </c>
      <c r="E465" s="1" t="str">
        <f ca="1">IFERROR(__xludf.DUMMYFUNCTION("GOOGLETRANSLATE(E465, ""en"", ""ko"")"),"관리 업무, 가벼운 노력(예: 싱크대 및 변기 청소, 먼지 털기, 진공 청소, 가벼운 청소)")</f>
        <v>관리 업무, 가벼운 노력(예: 싱크대 및 변기 청소, 먼지 털기, 진공 청소, 가벼운 청소)</v>
      </c>
      <c r="M465" s="1"/>
      <c r="O465" s="1"/>
    </row>
    <row r="466" spans="1:15" ht="16.5" customHeight="1">
      <c r="A466" s="1">
        <v>464</v>
      </c>
      <c r="B466" s="1" t="str">
        <f ca="1">IFERROR(__xludf.DUMMYFUNCTION("GOOGLETRANSLATE(B466, ""en"", ""ko"")"),"직업")</f>
        <v>직업</v>
      </c>
      <c r="C466" s="1">
        <v>11126</v>
      </c>
      <c r="D466" s="1">
        <v>3.8</v>
      </c>
      <c r="E466" s="1" t="str">
        <f ca="1">IFERROR(__xludf.DUMMYFUNCTION("GOOGLETRANSLATE(E466, ""en"", ""ko"")"),"관리 작업, 중간 정도의 노력(예: 전기 버퍼로 바닥 닦기, 경기장 바닥 털기 또는 청소, 걸레질, 청소)")</f>
        <v>관리 작업, 중간 정도의 노력(예: 전기 버퍼로 바닥 닦기, 경기장 바닥 털기 또는 청소, 걸레질, 청소)</v>
      </c>
      <c r="M466" s="1"/>
      <c r="O466" s="1"/>
    </row>
    <row r="467" spans="1:15" ht="16.5" customHeight="1">
      <c r="A467" s="1">
        <v>465</v>
      </c>
      <c r="B467" s="1" t="str">
        <f ca="1">IFERROR(__xludf.DUMMYFUNCTION("GOOGLETRANSLATE(B467, ""en"", ""ko"")"),"직업")</f>
        <v>직업</v>
      </c>
      <c r="C467" s="1">
        <v>11126</v>
      </c>
      <c r="D467" s="1">
        <v>3.8</v>
      </c>
      <c r="E467" s="1" t="str">
        <f ca="1">IFERROR(__xludf.DUMMYFUNCTION("GOOGLETRANSLATE(E467, ""en"", ""ko"")"),"관리 업무, 중간 정도의 노력(예: 전기 버퍼로 바닥 닦기, 경기장 바닥 털기 또는 청소, 걸레질, 쓰레기 버리기, 진공 청소)")</f>
        <v>관리 업무, 중간 정도의 노력(예: 전기 버퍼로 바닥 닦기, 경기장 바닥 털기 또는 청소, 걸레질, 쓰레기 버리기, 진공 청소)</v>
      </c>
      <c r="M467" s="1"/>
      <c r="O467" s="1"/>
    </row>
    <row r="468" spans="1:15" ht="16.5" customHeight="1">
      <c r="A468" s="1">
        <v>466</v>
      </c>
      <c r="B468" s="1" t="str">
        <f ca="1">IFERROR(__xludf.DUMMYFUNCTION("GOOGLETRANSLATE(B468, ""en"", ""ko"")"),"직업")</f>
        <v>직업</v>
      </c>
      <c r="C468" s="1">
        <v>11130</v>
      </c>
      <c r="D468" s="1">
        <v>3.3</v>
      </c>
      <c r="E468" s="1" t="str">
        <f ca="1">IFERROR(__xludf.DUMMYFUNCTION("GOOGLETRANSLATE(E468, ""en"", ""ko"")"),"전기 작업(예: 전선 연결, 탭핑 스플라이스); 배관은 11516으로 이전됨")</f>
        <v>전기 작업(예: 전선 연결, 탭핑 스플라이스); 배관은 11516으로 이전됨</v>
      </c>
      <c r="M468" s="1"/>
      <c r="O468" s="1"/>
    </row>
    <row r="469" spans="1:15" ht="16.5" customHeight="1">
      <c r="A469" s="1">
        <v>467</v>
      </c>
      <c r="B469" s="1" t="str">
        <f ca="1">IFERROR(__xludf.DUMMYFUNCTION("GOOGLETRANSLATE(B469, ""en"", ""ko"")"),"직업")</f>
        <v>직업</v>
      </c>
      <c r="C469" s="1">
        <v>11135</v>
      </c>
      <c r="D469" s="1">
        <v>1.8</v>
      </c>
      <c r="E469" s="1" t="str">
        <f ca="1">IFERROR(__xludf.DUMMYFUNCTION("GOOGLETRANSLATE(E469, ""en"", ""ko"")"),"엔지니어(예: 기계 또는 전기)")</f>
        <v>엔지니어(예: 기계 또는 전기)</v>
      </c>
      <c r="M469" s="1"/>
      <c r="O469" s="1"/>
    </row>
    <row r="470" spans="1:15" ht="16.5" customHeight="1">
      <c r="A470" s="1">
        <v>468</v>
      </c>
      <c r="B470" s="1" t="str">
        <f ca="1">IFERROR(__xludf.DUMMYFUNCTION("GOOGLETRANSLATE(B470, ""en"", ""ko"")"),"직업")</f>
        <v>직업</v>
      </c>
      <c r="C470" s="1">
        <v>11145</v>
      </c>
      <c r="D470" s="1">
        <v>7.8</v>
      </c>
      <c r="E470" s="1" t="str">
        <f ca="1">IFERROR(__xludf.DUMMYFUNCTION("GOOGLETRANSLATE(E470, ""en"", ""ko"")"),"농업, 활발한 노력(예: 건초 묶기, 헛간 청소)에는 이전 코드 11200이 포함됩니다.")</f>
        <v>농업, 활발한 노력(예: 건초 묶기, 헛간 청소)에는 이전 코드 11200이 포함됩니다.</v>
      </c>
      <c r="M470" s="1"/>
      <c r="O470" s="1"/>
    </row>
    <row r="471" spans="1:15" ht="16.5" customHeight="1">
      <c r="A471" s="1">
        <v>469</v>
      </c>
      <c r="B471" s="1" t="str">
        <f ca="1">IFERROR(__xludf.DUMMYFUNCTION("GOOGLETRANSLATE(B471, ""en"", ""ko"")"),"직업")</f>
        <v>직업</v>
      </c>
      <c r="C471" s="1">
        <v>11146</v>
      </c>
      <c r="D471" s="1">
        <v>4.8</v>
      </c>
      <c r="E471" s="1" t="str">
        <f ca="1">IFERROR(__xludf.DUMMYFUNCTION("GOOGLETRANSLATE(E471, ""en"", ""ko"")"),"농사, 중간 정도의 노력(예: 동물 먹이주기, 걷기 및/또는 말을 타고 소 쫓기, 거름 뿌리기, 수확)")</f>
        <v>농사, 중간 정도의 노력(예: 동물 먹이주기, 걷기 및/또는 말을 타고 소 쫓기, 거름 뿌리기, 수확)</v>
      </c>
      <c r="M471" s="1"/>
      <c r="O471" s="1"/>
    </row>
    <row r="472" spans="1:15" ht="16.5" customHeight="1">
      <c r="A472" s="1">
        <v>470</v>
      </c>
      <c r="B472" s="1" t="str">
        <f ca="1">IFERROR(__xludf.DUMMYFUNCTION("GOOGLETRANSLATE(B472, ""en"", ""ko"")"),"직업")</f>
        <v>직업</v>
      </c>
      <c r="C472" s="1">
        <v>11146</v>
      </c>
      <c r="D472" s="1">
        <v>4.8</v>
      </c>
      <c r="E472" s="1" t="str">
        <f ca="1">IFERROR(__xludf.DUMMYFUNCTION("GOOGLETRANSLATE(E472, ""en"", ""ko"")"),"농사, 중간 정도의 노력(예: 동물 먹이주기, 걷기 및/또는 말을 타고 소 쫓기, 거름 뿌리기, 작물 수확)")</f>
        <v>농사, 중간 정도의 노력(예: 동물 먹이주기, 걷기 및/또는 말을 타고 소 쫓기, 거름 뿌리기, 작물 수확)</v>
      </c>
      <c r="M472" s="1"/>
      <c r="O472" s="1"/>
    </row>
    <row r="473" spans="1:15" ht="16.5" customHeight="1">
      <c r="A473" s="1">
        <v>471</v>
      </c>
      <c r="B473" s="1" t="str">
        <f ca="1">IFERROR(__xludf.DUMMYFUNCTION("GOOGLETRANSLATE(B473, ""en"", ""ko"")"),"직업")</f>
        <v>직업</v>
      </c>
      <c r="C473" s="1">
        <v>11147</v>
      </c>
      <c r="D473" s="1">
        <v>2</v>
      </c>
      <c r="E473" s="1" t="str">
        <f ca="1">IFERROR(__xludf.DUMMYFUNCTION("GOOGLETRANSLATE(E473, ""en"", ""ko"")"),"농사, 가벼운 노력(예: 가축 헛간 청소, 가축 사료 준비)")</f>
        <v>농사, 가벼운 노력(예: 가축 헛간 청소, 가축 사료 준비)</v>
      </c>
      <c r="M473" s="1"/>
      <c r="O473" s="1"/>
    </row>
    <row r="474" spans="1:15" ht="16.5" customHeight="1">
      <c r="A474" s="1">
        <v>472</v>
      </c>
      <c r="B474" s="1" t="str">
        <f ca="1">IFERROR(__xludf.DUMMYFUNCTION("GOOGLETRANSLATE(B474, ""en"", ""ko"")"),"직업")</f>
        <v>직업</v>
      </c>
      <c r="C474" s="1">
        <v>11170</v>
      </c>
      <c r="D474" s="1">
        <v>2.8</v>
      </c>
      <c r="E474" s="1" t="str">
        <f ca="1">IFERROR(__xludf.DUMMYFUNCTION("GOOGLETRANSLATE(E474, ""en"", ""ko"")"),"농업, 운전 작업(예: 트랙터 또는 수확기 운전)")</f>
        <v>농업, 운전 작업(예: 트랙터 또는 수확기 운전)</v>
      </c>
      <c r="M474" s="1"/>
      <c r="O474" s="1"/>
    </row>
    <row r="475" spans="1:15" ht="16.5" customHeight="1">
      <c r="A475" s="1">
        <v>473</v>
      </c>
      <c r="B475" s="1" t="str">
        <f ca="1">IFERROR(__xludf.DUMMYFUNCTION("GOOGLETRANSLATE(B475, ""en"", ""ko"")"),"직업")</f>
        <v>직업</v>
      </c>
      <c r="C475" s="1">
        <v>11180</v>
      </c>
      <c r="D475" s="1">
        <v>3.5</v>
      </c>
      <c r="E475" s="1" t="str">
        <f ca="1">IFERROR(__xludf.DUMMYFUNCTION("GOOGLETRANSLATE(E475, ""en"", ""ko"")"),"농사, 작은 동물 먹이기")</f>
        <v>농사, 작은 동물 먹이기</v>
      </c>
      <c r="M475" s="1"/>
      <c r="O475" s="1"/>
    </row>
    <row r="476" spans="1:15" ht="16.5" customHeight="1">
      <c r="A476" s="1">
        <v>474</v>
      </c>
      <c r="B476" s="1" t="str">
        <f ca="1">IFERROR(__xludf.DUMMYFUNCTION("GOOGLETRANSLATE(B476, ""en"", ""ko"")"),"직업")</f>
        <v>직업</v>
      </c>
      <c r="C476" s="1">
        <v>11190</v>
      </c>
      <c r="D476" s="1">
        <v>4.3</v>
      </c>
      <c r="E476" s="1" t="str">
        <f ca="1">IFERROR(__xludf.DUMMYFUNCTION("GOOGLETRANSLATE(E476, ""en"", ""ko"")"),"농사, 소, 말 먹이기")</f>
        <v>농사, 소, 말 먹이기</v>
      </c>
      <c r="M476" s="1"/>
      <c r="O476" s="1"/>
    </row>
    <row r="477" spans="1:15" ht="16.5" customHeight="1">
      <c r="A477" s="1">
        <v>475</v>
      </c>
      <c r="B477" s="1" t="str">
        <f ca="1">IFERROR(__xludf.DUMMYFUNCTION("GOOGLETRANSLATE(B477, ""en"", ""ko"")"),"직업")</f>
        <v>직업</v>
      </c>
      <c r="C477" s="1">
        <v>11191</v>
      </c>
      <c r="D477" s="1">
        <v>4.3</v>
      </c>
      <c r="E477" s="1" t="str">
        <f ca="1">IFERROR(__xludf.DUMMYFUNCTION("GOOGLETRANSLATE(E477, ""en"", ""ko"")"),"농사, 동물을 위한 물 운반, 우물이나 개울에서 물 끌어오기")</f>
        <v>농사, 동물을 위한 물 운반, 우물이나 개울에서 물 끌어오기</v>
      </c>
      <c r="M477" s="1"/>
      <c r="O477" s="1"/>
    </row>
    <row r="478" spans="1:15" ht="16.5" customHeight="1">
      <c r="A478" s="1">
        <v>476</v>
      </c>
      <c r="B478" s="1" t="str">
        <f ca="1">IFERROR(__xludf.DUMMYFUNCTION("GOOGLETRANSLATE(B478, ""en"", ""ko"")"),"직업")</f>
        <v>직업</v>
      </c>
      <c r="C478" s="1">
        <v>11192</v>
      </c>
      <c r="D478" s="1">
        <v>4.5</v>
      </c>
      <c r="E478" s="1" t="str">
        <f ca="1">IFERROR(__xludf.DUMMYFUNCTION("GOOGLETRANSLATE(E478, ""en"", ""ko"")"),"농사, 동물 돌보기(예: 손질, 빗질, 양털 깎기, 출산 지원, 의료, 브랜딩)")</f>
        <v>농사, 동물 돌보기(예: 손질, 빗질, 양털 깎기, 출산 지원, 의료, 브랜딩)</v>
      </c>
      <c r="M478" s="1"/>
      <c r="O478" s="1"/>
    </row>
    <row r="479" spans="1:15" ht="16.5" customHeight="1">
      <c r="A479" s="1">
        <v>477</v>
      </c>
      <c r="B479" s="1" t="str">
        <f ca="1">IFERROR(__xludf.DUMMYFUNCTION("GOOGLETRANSLATE(B479, ""en"", ""ko"")"),"직업")</f>
        <v>직업</v>
      </c>
      <c r="C479" s="1">
        <v>11192</v>
      </c>
      <c r="D479" s="1">
        <v>4.5</v>
      </c>
      <c r="E479" s="1" t="str">
        <f ca="1">IFERROR(__xludf.DUMMYFUNCTION("GOOGLETRANSLATE(E479, ""en"", ""ko"")"),"농사, 동물 돌보기(예: 손질, 빗질, 양털 깎기, 출산 지원, 의료, 브랜딩), 일반")</f>
        <v>농사, 동물 돌보기(예: 손질, 빗질, 양털 깎기, 출산 지원, 의료, 브랜딩), 일반</v>
      </c>
      <c r="M479" s="1"/>
      <c r="O479" s="1"/>
    </row>
    <row r="480" spans="1:15" ht="16.5" customHeight="1">
      <c r="A480" s="1">
        <v>478</v>
      </c>
      <c r="B480" s="1" t="str">
        <f ca="1">IFERROR(__xludf.DUMMYFUNCTION("GOOGLETRANSLATE(B480, ""en"", ""ko"")"),"직업")</f>
        <v>직업</v>
      </c>
      <c r="C480" s="1">
        <v>11195</v>
      </c>
      <c r="D480" s="1">
        <v>3.8</v>
      </c>
      <c r="E480" s="1" t="str">
        <f ca="1">IFERROR(__xludf.DUMMYFUNCTION("GOOGLETRANSLATE(E480, ""en"", ""ko"")"),"농사, 벼농사, 심기, 곡물 제분 활동")</f>
        <v>농사, 벼농사, 심기, 곡물 제분 활동</v>
      </c>
      <c r="M480" s="1"/>
      <c r="O480" s="1"/>
    </row>
    <row r="481" spans="1:15" ht="16.5" customHeight="1">
      <c r="A481" s="1">
        <v>479</v>
      </c>
      <c r="B481" s="1" t="str">
        <f ca="1">IFERROR(__xludf.DUMMYFUNCTION("GOOGLETRANSLATE(B481, ""en"", ""ko"")"),"직업")</f>
        <v>직업</v>
      </c>
      <c r="C481" s="1">
        <v>11210</v>
      </c>
      <c r="D481" s="1">
        <v>3.5</v>
      </c>
      <c r="E481" s="1" t="str">
        <f ca="1">IFERROR(__xludf.DUMMYFUNCTION("GOOGLETRANSLATE(E481, ""en"", ""ko"")"),"농사, 손으로 젖짜기, 양동이 청소, 적당한 노력")</f>
        <v>농사, 손으로 젖짜기, 양동이 청소, 적당한 노력</v>
      </c>
      <c r="M481" s="1"/>
      <c r="O481" s="1"/>
    </row>
    <row r="482" spans="1:15" ht="16.5" customHeight="1">
      <c r="A482" s="1">
        <v>480</v>
      </c>
      <c r="B482" s="1" t="str">
        <f ca="1">IFERROR(__xludf.DUMMYFUNCTION("GOOGLETRANSLATE(B482, ""en"", ""ko"")"),"직업")</f>
        <v>직업</v>
      </c>
      <c r="C482" s="1">
        <v>11220</v>
      </c>
      <c r="D482" s="1">
        <v>1.3</v>
      </c>
      <c r="E482" s="1" t="str">
        <f ca="1">IFERROR(__xludf.DUMMYFUNCTION("GOOGLETRANSLATE(E482, ""en"", ""ko"")"),"농사, 기계로 젖짜기, 가벼운 노력")</f>
        <v>농사, 기계로 젖짜기, 가벼운 노력</v>
      </c>
      <c r="M482" s="1"/>
      <c r="O482" s="1"/>
    </row>
    <row r="483" spans="1:15" ht="16.5" customHeight="1">
      <c r="A483" s="1">
        <v>481</v>
      </c>
      <c r="B483" s="1" t="str">
        <f ca="1">IFERROR(__xludf.DUMMYFUNCTION("GOOGLETRANSLATE(B483, ""en"", ""ko"")"),"직업")</f>
        <v>직업</v>
      </c>
      <c r="C483" s="1">
        <v>11222</v>
      </c>
      <c r="D483" s="1">
        <v>3</v>
      </c>
      <c r="E483" s="1" t="str">
        <f ca="1">IFERROR(__xludf.DUMMYFUNCTION("GOOGLETRANSLATE(E483, ""en"", ""ko"")"),"농장, 젖소 짜기, 전체 젖소 짜기 과정, 젖소 짜는 기계가 있는 현대식 젖소 짜는 곳")</f>
        <v>농장, 젖소 짜기, 전체 젖소 짜기 과정, 젖소 짜는 기계가 있는 현대식 젖소 짜는 곳</v>
      </c>
      <c r="M483" s="1"/>
      <c r="O483" s="1"/>
    </row>
    <row r="484" spans="1:15" ht="16.5" customHeight="1">
      <c r="A484" s="1">
        <v>482</v>
      </c>
      <c r="B484" s="1" t="str">
        <f ca="1">IFERROR(__xludf.DUMMYFUNCTION("GOOGLETRANSLATE(B484, ""en"", ""ko"")"),"직업")</f>
        <v>직업</v>
      </c>
      <c r="C484" s="1">
        <v>11240</v>
      </c>
      <c r="D484" s="1">
        <v>8</v>
      </c>
      <c r="E484" s="1" t="str">
        <f ca="1">IFERROR(__xludf.DUMMYFUNCTION("GOOGLETRANSLATE(E484, ""en"", ""ko"")"),"소방관, 장군")</f>
        <v>소방관, 장군</v>
      </c>
      <c r="M484" s="1"/>
      <c r="O484" s="1"/>
    </row>
    <row r="485" spans="1:15" ht="16.5" customHeight="1">
      <c r="A485" s="1">
        <v>483</v>
      </c>
      <c r="B485" s="1" t="str">
        <f ca="1">IFERROR(__xludf.DUMMYFUNCTION("GOOGLETRANSLATE(B485, ""en"", ""ko"")"),"직업")</f>
        <v>직업</v>
      </c>
      <c r="C485" s="1">
        <v>11244</v>
      </c>
      <c r="D485" s="1">
        <v>6.8</v>
      </c>
      <c r="E485" s="1" t="str">
        <f ca="1">IFERROR(__xludf.DUMMYFUNCTION("GOOGLETRANSLATE(E485, ""en"", ""ko"")"),"소방관, 구조 피해자, 자동차 사고, 파이크 폴 사용")</f>
        <v>소방관, 구조 피해자, 자동차 사고, 파이크 폴 사용</v>
      </c>
      <c r="M485" s="1"/>
      <c r="O485" s="1"/>
    </row>
    <row r="486" spans="1:15" ht="16.5" customHeight="1">
      <c r="A486" s="1">
        <v>484</v>
      </c>
      <c r="B486" s="1" t="str">
        <f ca="1">IFERROR(__xludf.DUMMYFUNCTION("GOOGLETRANSLATE(B486, ""en"", ""ko"")"),"직업")</f>
        <v>직업</v>
      </c>
      <c r="C486" s="1">
        <v>11245</v>
      </c>
      <c r="D486" s="1">
        <v>8</v>
      </c>
      <c r="E486" s="1" t="str">
        <f ca="1">IFERROR(__xludf.DUMMYFUNCTION("GOOGLETRANSLATE(E486, ""en"", ""ko"")"),"소방관, 전체 장비를 착용하고 사다리를 올리고 오르는 기술, 시뮬레이션 화재 진압")</f>
        <v>소방관, 전체 장비를 착용하고 사다리를 올리고 오르는 기술, 시뮬레이션 화재 진압</v>
      </c>
      <c r="M486" s="1"/>
      <c r="O486" s="1"/>
    </row>
    <row r="487" spans="1:15" ht="16.5" customHeight="1">
      <c r="A487" s="1">
        <v>485</v>
      </c>
      <c r="B487" s="1" t="str">
        <f ca="1">IFERROR(__xludf.DUMMYFUNCTION("GOOGLETRANSLATE(B487, ""en"", ""ko"")"),"직업")</f>
        <v>직업</v>
      </c>
      <c r="C487" s="1">
        <v>11246</v>
      </c>
      <c r="D487" s="1">
        <v>9</v>
      </c>
      <c r="E487" s="1" t="str">
        <f ca="1">IFERROR(__xludf.DUMMYFUNCTION("GOOGLETRANSLATE(E487, ""en"", ""ko"")"),"소방관, 지상에서 호스를 끌어올리고, 장비를 운반/들어올리고, 벽을 허무는 등의 작업을 하며, 전체 장비를 착용합니다.")</f>
        <v>소방관, 지상에서 호스를 끌어올리고, 장비를 운반/들어올리고, 벽을 허무는 등의 작업을 하며, 전체 장비를 착용합니다.</v>
      </c>
      <c r="M487" s="1"/>
      <c r="O487" s="1"/>
    </row>
    <row r="488" spans="1:15" ht="16.5" customHeight="1">
      <c r="A488" s="1">
        <v>486</v>
      </c>
      <c r="B488" s="1" t="str">
        <f ca="1">IFERROR(__xludf.DUMMYFUNCTION("GOOGLETRANSLATE(B488, ""en"", ""ko"")"),"직업")</f>
        <v>직업</v>
      </c>
      <c r="C488" s="1">
        <v>11247</v>
      </c>
      <c r="D488" s="1">
        <v>3.5</v>
      </c>
      <c r="E488" s="1" t="str">
        <f ca="1">IFERROR(__xludf.DUMMYFUNCTION("GOOGLETRANSLATE(E488, ""en"", ""ko"")"),"낚시, 상업, 가벼운 노력")</f>
        <v>낚시, 상업, 가벼운 노력</v>
      </c>
      <c r="M488" s="1"/>
      <c r="O488" s="1"/>
    </row>
    <row r="489" spans="1:15" ht="16.5" customHeight="1">
      <c r="A489" s="1">
        <v>487</v>
      </c>
      <c r="B489" s="1" t="str">
        <f ca="1">IFERROR(__xludf.DUMMYFUNCTION("GOOGLETRANSLATE(B489, ""en"", ""ko"")"),"직업")</f>
        <v>직업</v>
      </c>
      <c r="C489" s="1">
        <v>11248</v>
      </c>
      <c r="D489" s="1">
        <v>5</v>
      </c>
      <c r="E489" s="1" t="str">
        <f ca="1">IFERROR(__xludf.DUMMYFUNCTION("GOOGLETRANSLATE(E489, ""en"", ""ko"")"),"낚시, 상업, 중간 노력")</f>
        <v>낚시, 상업, 중간 노력</v>
      </c>
      <c r="M489" s="1"/>
      <c r="O489" s="1"/>
    </row>
    <row r="490" spans="1:15" ht="16.5" customHeight="1">
      <c r="A490" s="1">
        <v>488</v>
      </c>
      <c r="B490" s="1" t="str">
        <f ca="1">IFERROR(__xludf.DUMMYFUNCTION("GOOGLETRANSLATE(B490, ""en"", ""ko"")"),"직업")</f>
        <v>직업</v>
      </c>
      <c r="C490" s="1">
        <v>11250</v>
      </c>
      <c r="D490" s="1">
        <v>17.5</v>
      </c>
      <c r="E490" s="1" t="str">
        <f ca="1">IFERROR(__xludf.DUMMYFUNCTION("GOOGLETRANSLATE(E490, ""en"", ""ko"")"),"임업, 도끼 자르기, 매우 빠름, 1.25kg 도끼, 분당 51회 타격, 매우 강력한 노력")</f>
        <v>임업, 도끼 자르기, 매우 빠름, 1.25kg 도끼, 분당 51회 타격, 매우 강력한 노력</v>
      </c>
      <c r="M490" s="1"/>
      <c r="O490" s="1"/>
    </row>
    <row r="491" spans="1:15" ht="16.5" customHeight="1">
      <c r="A491" s="1">
        <v>489</v>
      </c>
      <c r="B491" s="1" t="str">
        <f ca="1">IFERROR(__xludf.DUMMYFUNCTION("GOOGLETRANSLATE(B491, ""en"", ""ko"")"),"직업")</f>
        <v>직업</v>
      </c>
      <c r="C491" s="1">
        <v>11260</v>
      </c>
      <c r="D491" s="1">
        <v>5</v>
      </c>
      <c r="E491" s="1" t="str">
        <f ca="1">IFERROR(__xludf.DUMMYFUNCTION("GOOGLETRANSLATE(E491, ""en"", ""ko"")"),"임업, 도끼 자르기, 느림, 1.25kg 도끼, 분당 19회 타격, 중간 강도")</f>
        <v>임업, 도끼 자르기, 느림, 1.25kg 도끼, 분당 19회 타격, 중간 강도</v>
      </c>
      <c r="M491" s="1"/>
      <c r="O491" s="1"/>
    </row>
    <row r="492" spans="1:15" ht="16.5" customHeight="1">
      <c r="A492" s="1">
        <v>490</v>
      </c>
      <c r="B492" s="1" t="str">
        <f ca="1">IFERROR(__xludf.DUMMYFUNCTION("GOOGLETRANSLATE(B492, ""en"", ""ko"")"),"직업")</f>
        <v>직업</v>
      </c>
      <c r="C492" s="1">
        <v>11262</v>
      </c>
      <c r="D492" s="1">
        <v>8</v>
      </c>
      <c r="E492" s="1" t="str">
        <f ca="1">IFERROR(__xludf.DUMMYFUNCTION("GOOGLETRANSLATE(E492, ""en"", ""ko"")"),"임업, 도끼 자르기, 빠름, 1.25kg 도끼, 분당 35회 타격, 강력한 노력")</f>
        <v>임업, 도끼 자르기, 빠름, 1.25kg 도끼, 분당 35회 타격, 강력한 노력</v>
      </c>
      <c r="M492" s="1"/>
      <c r="O492" s="1"/>
    </row>
    <row r="493" spans="1:15" ht="16.5" customHeight="1">
      <c r="A493" s="1">
        <v>491</v>
      </c>
      <c r="B493" s="1" t="str">
        <f ca="1">IFERROR(__xludf.DUMMYFUNCTION("GOOGLETRANSLATE(B493, ""en"", ""ko"")"),"직업")</f>
        <v>직업</v>
      </c>
      <c r="C493" s="1">
        <v>11264</v>
      </c>
      <c r="D493" s="1">
        <v>5</v>
      </c>
      <c r="E493" s="1" t="str">
        <f ca="1">IFERROR(__xludf.DUMMYFUNCTION("GOOGLETRANSLATE(E493, ""en"", ""ko"")"),"임업, 중간 정도의 노력(예: 전동 톱으로 나무 자르기, 잡초 제거, 괭이질)")</f>
        <v>임업, 중간 정도의 노력(예: 전동 톱으로 나무 자르기, 잡초 제거, 괭이질)</v>
      </c>
      <c r="M493" s="1"/>
      <c r="O493" s="1"/>
    </row>
    <row r="494" spans="1:15" ht="16.5" customHeight="1">
      <c r="A494" s="1">
        <v>492</v>
      </c>
      <c r="B494" s="1" t="str">
        <f ca="1">IFERROR(__xludf.DUMMYFUNCTION("GOOGLETRANSLATE(B494, ""en"", ""ko"")"),"직업")</f>
        <v>직업</v>
      </c>
      <c r="C494" s="1">
        <v>11266</v>
      </c>
      <c r="D494" s="1">
        <v>8.5</v>
      </c>
      <c r="E494" s="1" t="str">
        <f ca="1">IFERROR(__xludf.DUMMYFUNCTION("GOOGLETRANSLATE(E494, ""en"", ""ko"")"),"임업, 활발한 노력(예: 나무껍질 벗기기, 나무 베기 또는 다듬기, 통나무 운반 또는 쌓기, 씨앗 심기, 목재 톱질)")</f>
        <v>임업, 활발한 노력(예: 나무껍질 벗기기, 나무 베기 또는 다듬기, 통나무 운반 또는 쌓기, 씨앗 심기, 목재 톱질)</v>
      </c>
      <c r="M494" s="1"/>
      <c r="O494" s="1"/>
    </row>
    <row r="495" spans="1:15" ht="16.5" customHeight="1">
      <c r="A495" s="1">
        <v>493</v>
      </c>
      <c r="B495" s="1" t="str">
        <f ca="1">IFERROR(__xludf.DUMMYFUNCTION("GOOGLETRANSLATE(B495, ""en"", ""ko"")"),"직업")</f>
        <v>직업</v>
      </c>
      <c r="C495" s="1">
        <v>11266</v>
      </c>
      <c r="D495" s="1">
        <v>8.5</v>
      </c>
      <c r="E495" s="1" t="str">
        <f ca="1">IFERROR(__xludf.DUMMYFUNCTION("GOOGLETRANSLATE(E495, ""en"", ""ko"")"),"임업, 활발한 노력(예: 나무껍질 벗기기, 나무 베기 또는 다듬기, 통나무 운반 또는 쌓기, 씨앗 심기, 손으로 목재 톱질)")</f>
        <v>임업, 활발한 노력(예: 나무껍질 벗기기, 나무 베기 또는 다듬기, 통나무 운반 또는 쌓기, 씨앗 심기, 손으로 목재 톱질)</v>
      </c>
      <c r="M495" s="1"/>
      <c r="O495" s="1"/>
    </row>
    <row r="496" spans="1:15" ht="16.5" customHeight="1">
      <c r="A496" s="1">
        <v>494</v>
      </c>
      <c r="B496" s="1" t="str">
        <f ca="1">IFERROR(__xludf.DUMMYFUNCTION("GOOGLETRANSLATE(B496, ""en"", ""ko"")"),"직업")</f>
        <v>직업</v>
      </c>
      <c r="C496" s="1">
        <v>11370</v>
      </c>
      <c r="D496" s="1">
        <v>4.8</v>
      </c>
      <c r="E496" s="1" t="str">
        <f ca="1">IFERROR(__xludf.DUMMYFUNCTION("GOOGLETRANSLATE(E496, ""en"", ""ko"")"),"모피")</f>
        <v>모피</v>
      </c>
      <c r="M496" s="1"/>
      <c r="O496" s="1"/>
    </row>
    <row r="497" spans="1:15" ht="16.5" customHeight="1">
      <c r="A497" s="1">
        <v>495</v>
      </c>
      <c r="B497" s="1" t="str">
        <f ca="1">IFERROR(__xludf.DUMMYFUNCTION("GOOGLETRANSLATE(B497, ""en"", ""ko"")"),"직업")</f>
        <v>직업</v>
      </c>
      <c r="C497" s="1">
        <v>11375</v>
      </c>
      <c r="D497" s="1">
        <v>3.8</v>
      </c>
      <c r="E497" s="1" t="str">
        <f ca="1">IFERROR(__xludf.DUMMYFUNCTION("GOOGLETRANSLATE(E497, ""en"", ""ko"")"),"쓰레기 수거, 걷기, 트럭에 쓰레기통 버리는 것, 거리 청소")</f>
        <v>쓰레기 수거, 걷기, 트럭에 쓰레기통 버리는 것, 거리 청소</v>
      </c>
      <c r="M497" s="1"/>
      <c r="O497" s="1"/>
    </row>
    <row r="498" spans="1:15" ht="16.5" customHeight="1">
      <c r="A498" s="1">
        <v>496</v>
      </c>
      <c r="B498" s="1" t="str">
        <f ca="1">IFERROR(__xludf.DUMMYFUNCTION("GOOGLETRANSLATE(B498, ""en"", ""ko"")"),"직업")</f>
        <v>직업</v>
      </c>
      <c r="C498" s="1">
        <v>11378</v>
      </c>
      <c r="D498" s="1">
        <v>1.8</v>
      </c>
      <c r="E498" s="1" t="str">
        <f ca="1">IFERROR(__xludf.DUMMYFUNCTION("GOOGLETRANSLATE(E498, ""en"", ""ko"")"),"헤어 스타일리스트(예: 머리 땋기, 매니큐어, 메이크업 아티스트)")</f>
        <v>헤어 스타일리스트(예: 머리 땋기, 매니큐어, 메이크업 아티스트)</v>
      </c>
      <c r="M498" s="1"/>
      <c r="O498" s="1"/>
    </row>
    <row r="499" spans="1:15" ht="16.5" customHeight="1">
      <c r="A499" s="1">
        <v>497</v>
      </c>
      <c r="B499" s="1" t="str">
        <f ca="1">IFERROR(__xludf.DUMMYFUNCTION("GOOGLETRANSLATE(B499, ""en"", ""ko"")"),"직업")</f>
        <v>직업</v>
      </c>
      <c r="C499" s="1">
        <v>11380</v>
      </c>
      <c r="D499" s="1">
        <v>7.3</v>
      </c>
      <c r="E499" s="1" t="str">
        <f ca="1">IFERROR(__xludf.DUMMYFUNCTION("GOOGLETRANSLATE(E499, ""en"", ""ko"")"),"말에게 먹이를 주고, 마구간을 청소하고, 목욕시키고, 빗질하고, 깎고, 말을 길들이고, 말을 운동시키는 등의 말 손질.")</f>
        <v>말에게 먹이를 주고, 마구간을 청소하고, 목욕시키고, 빗질하고, 깎고, 말을 길들이고, 말을 운동시키는 등의 말 손질.</v>
      </c>
      <c r="M499" s="1"/>
      <c r="O499" s="1"/>
    </row>
    <row r="500" spans="1:15" ht="16.5" customHeight="1">
      <c r="A500" s="1">
        <v>498</v>
      </c>
      <c r="B500" s="1" t="str">
        <f ca="1">IFERROR(__xludf.DUMMYFUNCTION("GOOGLETRANSLATE(B500, ""en"", ""ko"")"),"직업")</f>
        <v>직업</v>
      </c>
      <c r="C500" s="1">
        <v>11381</v>
      </c>
      <c r="D500" s="1">
        <v>4.3</v>
      </c>
      <c r="E500" s="1" t="str">
        <f ca="1">IFERROR(__xludf.DUMMYFUNCTION("GOOGLETRANSLATE(E500, ""en"", ""ko"")"),"말에게 먹이를 주고, 물을 주고, 마구간을 청소하고, 걷는 것과 짐을 들어올리는 것을 암시함")</f>
        <v>말에게 먹이를 주고, 물을 주고, 마구간을 청소하고, 걷는 것과 짐을 들어올리는 것을 암시함</v>
      </c>
      <c r="M500" s="1"/>
      <c r="O500" s="1"/>
    </row>
    <row r="501" spans="1:15" ht="16.5" customHeight="1">
      <c r="A501" s="1">
        <v>499</v>
      </c>
      <c r="B501" s="1" t="str">
        <f ca="1">IFERROR(__xludf.DUMMYFUNCTION("GOOGLETRANSLATE(B501, ""en"", ""ko"")"),"직업")</f>
        <v>직업</v>
      </c>
      <c r="C501" s="1">
        <v>11383</v>
      </c>
      <c r="D501" s="1">
        <v>4.5</v>
      </c>
      <c r="E501" s="1" t="str">
        <f ca="1">IFERROR(__xludf.DUMMYFUNCTION("GOOGLETRANSLATE(E501, ""en"", ""ko"")"),"승마, 일, 소 베기")</f>
        <v>승마, 일, 소 베기</v>
      </c>
      <c r="M501" s="1"/>
      <c r="O501" s="1"/>
    </row>
    <row r="502" spans="1:15" ht="16.5" customHeight="1">
      <c r="A502" s="1">
        <v>500</v>
      </c>
      <c r="B502" s="1" t="str">
        <f ca="1">IFERROR(__xludf.DUMMYFUNCTION("GOOGLETRANSLATE(B502, ""en"", ""ko"")"),"직업")</f>
        <v>직업</v>
      </c>
      <c r="C502" s="1">
        <v>11390</v>
      </c>
      <c r="D502" s="1">
        <v>7.8</v>
      </c>
      <c r="E502" s="1" t="str">
        <f ca="1">IFERROR(__xludf.DUMMYFUNCTION("GOOGLETRANSLATE(E502, ""en"", ""ko"")"),"경마, 질주, 성가대")</f>
        <v>경마, 질주, 성가대</v>
      </c>
      <c r="M502" s="1"/>
      <c r="O502" s="1"/>
    </row>
    <row r="503" spans="1:15" ht="16.5" customHeight="1">
      <c r="A503" s="1">
        <v>501</v>
      </c>
      <c r="B503" s="1" t="str">
        <f ca="1">IFERROR(__xludf.DUMMYFUNCTION("GOOGLETRANSLATE(B503, ""en"", ""ko"")"),"직업")</f>
        <v>직업</v>
      </c>
      <c r="C503" s="1">
        <v>11400</v>
      </c>
      <c r="D503" s="1">
        <v>6.3</v>
      </c>
      <c r="E503" s="1" t="str">
        <f ca="1">IFERROR(__xludf.DUMMYFUNCTION("GOOGLETRANSLATE(E503, ""en"", ""ko"")"),"경마, 기수, 트로팅")</f>
        <v>경마, 기수, 트로팅</v>
      </c>
      <c r="M503" s="1"/>
      <c r="O503" s="1"/>
    </row>
    <row r="504" spans="1:15" ht="16.5" customHeight="1">
      <c r="A504" s="1">
        <v>502</v>
      </c>
      <c r="B504" s="1" t="str">
        <f ca="1">IFERROR(__xludf.DUMMYFUNCTION("GOOGLETRANSLATE(B504, ""en"", ""ko"")"),"직업")</f>
        <v>직업</v>
      </c>
      <c r="C504" s="1">
        <v>11410</v>
      </c>
      <c r="D504" s="1">
        <v>2.2999999999999998</v>
      </c>
      <c r="E504" s="1" t="str">
        <f ca="1">IFERROR(__xludf.DUMMYFUNCTION("GOOGLETRANSLATE(E504, ""en"", ""ko"")"),"경마, 기수, 걷기")</f>
        <v>경마, 기수, 걷기</v>
      </c>
      <c r="M504" s="1"/>
      <c r="O504" s="1"/>
    </row>
    <row r="505" spans="1:15" ht="16.5" customHeight="1">
      <c r="A505" s="1">
        <v>503</v>
      </c>
      <c r="B505" s="1" t="str">
        <f ca="1">IFERROR(__xludf.DUMMYFUNCTION("GOOGLETRANSLATE(B505, ""en"", ""ko"")"),"직업")</f>
        <v>직업</v>
      </c>
      <c r="C505" s="1">
        <v>11413</v>
      </c>
      <c r="D505" s="1">
        <v>3</v>
      </c>
      <c r="E505" s="1" t="str">
        <f ca="1">IFERROR(__xludf.DUMMYFUNCTION("GOOGLETRANSLATE(E505, ""en"", ""ko"")"),"주방 하녀")</f>
        <v>주방 하녀</v>
      </c>
      <c r="M505" s="1"/>
      <c r="O505" s="1"/>
    </row>
    <row r="506" spans="1:15" ht="16.5" customHeight="1">
      <c r="A506" s="1">
        <v>504</v>
      </c>
      <c r="B506" s="1" t="str">
        <f ca="1">IFERROR(__xludf.DUMMYFUNCTION("GOOGLETRANSLATE(B506, ""en"", ""ko"")"),"직업")</f>
        <v>직업</v>
      </c>
      <c r="C506" s="1">
        <v>11415</v>
      </c>
      <c r="D506" s="1">
        <v>4</v>
      </c>
      <c r="E506" s="1" t="str">
        <f ca="1">IFERROR(__xludf.DUMMYFUNCTION("GOOGLETRANSLATE(E506, ""en"", ""ko"")"),"잔디 관리인, 정원 관리인, 일반")</f>
        <v>잔디 관리인, 정원 관리인, 일반</v>
      </c>
      <c r="M506" s="1"/>
      <c r="O506" s="1"/>
    </row>
    <row r="507" spans="1:15" ht="16.5" customHeight="1">
      <c r="A507" s="1">
        <v>505</v>
      </c>
      <c r="B507" s="1" t="str">
        <f ca="1">IFERROR(__xludf.DUMMYFUNCTION("GOOGLETRANSLATE(B507, ""en"", ""ko"")"),"직업")</f>
        <v>직업</v>
      </c>
      <c r="C507" s="1">
        <v>11416</v>
      </c>
      <c r="D507" s="1">
        <v>3</v>
      </c>
      <c r="E507" s="1" t="str">
        <f ca="1">IFERROR(__xludf.DUMMYFUNCTION("GOOGLETRANSLATE(E507, ""en"", ""ko"")"),"잔디 관리, 잡초 제거, 가스 동력")</f>
        <v>잔디 관리, 잡초 제거, 가스 동력</v>
      </c>
      <c r="M507" s="1"/>
      <c r="O507" s="1"/>
    </row>
    <row r="508" spans="1:15" ht="16.5" customHeight="1">
      <c r="A508" s="1">
        <v>506</v>
      </c>
      <c r="B508" s="1" t="str">
        <f ca="1">IFERROR(__xludf.DUMMYFUNCTION("GOOGLETRANSLATE(B508, ""en"", ""ko"")"),"직업")</f>
        <v>직업</v>
      </c>
      <c r="C508" s="1">
        <v>11418</v>
      </c>
      <c r="D508" s="1">
        <v>3.3</v>
      </c>
      <c r="E508" s="1" t="str">
        <f ca="1">IFERROR(__xludf.DUMMYFUNCTION("GOOGLETRANSLATE(E508, ""en"", ""ko"")"),"세탁소 직원")</f>
        <v>세탁소 직원</v>
      </c>
      <c r="M508" s="1"/>
      <c r="O508" s="1"/>
    </row>
    <row r="509" spans="1:15" ht="16.5" customHeight="1">
      <c r="A509" s="1">
        <v>507</v>
      </c>
      <c r="B509" s="1" t="str">
        <f ca="1">IFERROR(__xludf.DUMMYFUNCTION("GOOGLETRANSLATE(B509, ""en"", ""ko"")"),"직업")</f>
        <v>직업</v>
      </c>
      <c r="C509" s="1">
        <v>11420</v>
      </c>
      <c r="D509" s="1">
        <v>3</v>
      </c>
      <c r="E509" s="1" t="str">
        <f ca="1">IFERROR(__xludf.DUMMYFUNCTION("GOOGLETRANSLATE(E509, ""en"", ""ko"")"),"자물쇠공")</f>
        <v>자물쇠공</v>
      </c>
      <c r="M509" s="1"/>
      <c r="O509" s="1"/>
    </row>
    <row r="510" spans="1:15" ht="16.5" customHeight="1">
      <c r="A510" s="1">
        <v>508</v>
      </c>
      <c r="B510" s="1" t="str">
        <f ca="1">IFERROR(__xludf.DUMMYFUNCTION("GOOGLETRANSLATE(B510, ""en"", ""ko"")"),"직업")</f>
        <v>직업</v>
      </c>
      <c r="C510" s="1">
        <v>11430</v>
      </c>
      <c r="D510" s="1">
        <v>3</v>
      </c>
      <c r="E510" s="1" t="str">
        <f ca="1">IFERROR(__xludf.DUMMYFUNCTION("GOOGLETRANSLATE(E510, ""en"", ""ko"")"),"기계 가공(예: 가공, 판금 작업, 기계 피터, 선반 작동, 용접) 가볍거나 보통 수준의 노력")</f>
        <v>기계 가공(예: 가공, 판금 작업, 기계 피터, 선반 작동, 용접) 가볍거나 보통 수준의 노력</v>
      </c>
      <c r="M510" s="1"/>
      <c r="O510" s="1"/>
    </row>
    <row r="511" spans="1:15" ht="16.5" customHeight="1">
      <c r="A511" s="1">
        <v>509</v>
      </c>
      <c r="B511" s="1" t="str">
        <f ca="1">IFERROR(__xludf.DUMMYFUNCTION("GOOGLETRANSLATE(B511, ""en"", ""ko"")"),"직업")</f>
        <v>직업</v>
      </c>
      <c r="C511" s="1">
        <v>11450</v>
      </c>
      <c r="D511" s="1">
        <v>5</v>
      </c>
      <c r="E511" s="1" t="str">
        <f ca="1">IFERROR(__xludf.DUMMYFUNCTION("GOOGLETRANSLATE(E511, ""en"", ""ko"")"),"기계 가공, 펀칭 프레스 작동, 중간 정도의 노력")</f>
        <v>기계 가공, 펀칭 프레스 작동, 중간 정도의 노력</v>
      </c>
      <c r="M511" s="1"/>
      <c r="O511" s="1"/>
    </row>
    <row r="512" spans="1:15" ht="16.5" customHeight="1">
      <c r="A512" s="1">
        <v>510</v>
      </c>
      <c r="B512" s="1" t="str">
        <f ca="1">IFERROR(__xludf.DUMMYFUNCTION("GOOGLETRANSLATE(B512, ""en"", ""ko"")"),"직업")</f>
        <v>직업</v>
      </c>
      <c r="C512" s="1">
        <v>11472</v>
      </c>
      <c r="D512" s="1">
        <v>1.8</v>
      </c>
      <c r="E512" s="1" t="str">
        <f ca="1">IFERROR(__xludf.DUMMYFUNCTION("GOOGLETRANSLATE(E512, ""en"", ""ko"")"),"관리자, 부동산")</f>
        <v>관리자, 부동산</v>
      </c>
      <c r="M512" s="1"/>
      <c r="O512" s="1"/>
    </row>
    <row r="513" spans="1:15" ht="16.5" customHeight="1">
      <c r="A513" s="1">
        <v>511</v>
      </c>
      <c r="B513" s="1" t="str">
        <f ca="1">IFERROR(__xludf.DUMMYFUNCTION("GOOGLETRANSLATE(B513, ""en"", ""ko"")"),"직업")</f>
        <v>직업</v>
      </c>
      <c r="C513" s="1">
        <v>11475</v>
      </c>
      <c r="D513" s="1">
        <v>2.8</v>
      </c>
      <c r="E513" s="1" t="str">
        <f ca="1">IFERROR(__xludf.DUMMYFUNCTION("GOOGLETRANSLATE(E513, ""en"", ""ko"")"),"수동 또는 비숙련 노동, 일반, 가벼운 노력")</f>
        <v>수동 또는 비숙련 노동, 일반, 가벼운 노력</v>
      </c>
      <c r="M513" s="1"/>
      <c r="O513" s="1"/>
    </row>
    <row r="514" spans="1:15" ht="16.5" customHeight="1">
      <c r="A514" s="1">
        <v>512</v>
      </c>
      <c r="B514" s="1" t="str">
        <f ca="1">IFERROR(__xludf.DUMMYFUNCTION("GOOGLETRANSLATE(B514, ""en"", ""ko"")"),"직업")</f>
        <v>직업</v>
      </c>
      <c r="C514" s="1">
        <v>11476</v>
      </c>
      <c r="D514" s="1">
        <v>4.5</v>
      </c>
      <c r="E514" s="1" t="str">
        <f ca="1">IFERROR(__xludf.DUMMYFUNCTION("GOOGLETRANSLATE(E514, ""en"", ""ko"")"),"수동 또는 비숙련 노동, 일반, 중간 노력")</f>
        <v>수동 또는 비숙련 노동, 일반, 중간 노력</v>
      </c>
      <c r="M514" s="1"/>
      <c r="O514" s="1"/>
    </row>
    <row r="515" spans="1:15" ht="16.5" customHeight="1">
      <c r="A515" s="1">
        <v>513</v>
      </c>
      <c r="B515" s="1" t="str">
        <f ca="1">IFERROR(__xludf.DUMMYFUNCTION("GOOGLETRANSLATE(B515, ""en"", ""ko"")"),"직업")</f>
        <v>직업</v>
      </c>
      <c r="C515" s="1">
        <v>11477</v>
      </c>
      <c r="D515" s="1">
        <v>6.5</v>
      </c>
      <c r="E515" s="1" t="str">
        <f ca="1">IFERROR(__xludf.DUMMYFUNCTION("GOOGLETRANSLATE(E515, ""en"", ""ko"")"),"수동 또는 비숙련 노동, 일반, 활발한 노력")</f>
        <v>수동 또는 비숙련 노동, 일반, 활발한 노력</v>
      </c>
      <c r="M515" s="1"/>
      <c r="O515" s="1"/>
    </row>
    <row r="516" spans="1:15" ht="16.5" customHeight="1">
      <c r="A516" s="1">
        <v>514</v>
      </c>
      <c r="B516" s="1" t="str">
        <f ca="1">IFERROR(__xludf.DUMMYFUNCTION("GOOGLETRANSLATE(B516, ""en"", ""ko"")"),"직업")</f>
        <v>직업</v>
      </c>
      <c r="C516" s="1">
        <v>11480</v>
      </c>
      <c r="D516" s="1">
        <v>4.3</v>
      </c>
      <c r="E516" s="1" t="str">
        <f ca="1">IFERROR(__xludf.DUMMYFUNCTION("GOOGLETRANSLATE(E516, ""en"", ""ko"")"),"석조, 콘크리트, 중간 정도의 노력")</f>
        <v>석조, 콘크리트, 중간 정도의 노력</v>
      </c>
      <c r="M516" s="1"/>
      <c r="O516" s="1"/>
    </row>
    <row r="517" spans="1:15" ht="16.5" customHeight="1">
      <c r="A517" s="1">
        <v>515</v>
      </c>
      <c r="B517" s="1" t="str">
        <f ca="1">IFERROR(__xludf.DUMMYFUNCTION("GOOGLETRANSLATE(B517, ""en"", ""ko"")"),"직업")</f>
        <v>직업</v>
      </c>
      <c r="C517" s="1">
        <v>11482</v>
      </c>
      <c r="D517" s="1">
        <v>2.5</v>
      </c>
      <c r="E517" s="1" t="str">
        <f ca="1">IFERROR(__xludf.DUMMYFUNCTION("GOOGLETRANSLATE(E517, ""en"", ""ko"")"),"석조, 콘크리트, 가벼운 노력")</f>
        <v>석조, 콘크리트, 가벼운 노력</v>
      </c>
      <c r="M517" s="1"/>
      <c r="O517" s="1"/>
    </row>
    <row r="518" spans="1:15" ht="16.5" customHeight="1">
      <c r="A518" s="1">
        <v>516</v>
      </c>
      <c r="B518" s="1" t="str">
        <f ca="1">IFERROR(__xludf.DUMMYFUNCTION("GOOGLETRANSLATE(B518, ""en"", ""ko"")"),"직업")</f>
        <v>직업</v>
      </c>
      <c r="C518" s="1">
        <v>11485</v>
      </c>
      <c r="D518" s="1">
        <v>5.5</v>
      </c>
      <c r="E518" s="1" t="str">
        <f ca="1">IFERROR(__xludf.DUMMYFUNCTION("GOOGLETRANSLATE(E518, ""en"", ""ko"")"),"마사지 치료사, 서 있음")</f>
        <v>마사지 치료사, 서 있음</v>
      </c>
      <c r="M518" s="1"/>
      <c r="O518" s="1"/>
    </row>
    <row r="519" spans="1:15" ht="16.5" customHeight="1">
      <c r="A519" s="1">
        <v>517</v>
      </c>
      <c r="B519" s="1" t="str">
        <f ca="1">IFERROR(__xludf.DUMMYFUNCTION("GOOGLETRANSLATE(B519, ""en"", ""ko"")"),"직업")</f>
        <v>직업</v>
      </c>
      <c r="C519" s="1">
        <v>11486</v>
      </c>
      <c r="D519" s="1">
        <v>2.2999999999999998</v>
      </c>
      <c r="E519" s="1" t="str">
        <f ca="1">IFERROR(__xludf.DUMMYFUNCTION("GOOGLETRANSLATE(E519, ""en"", ""ko"")"),"우편 배달부, 우편물을 배달하기 위해 걸어가다")</f>
        <v>우편 배달부, 우편물을 배달하기 위해 걸어가다</v>
      </c>
      <c r="M519" s="1"/>
      <c r="O519" s="1"/>
    </row>
    <row r="520" spans="1:15" ht="16.5" customHeight="1">
      <c r="A520" s="1">
        <v>518</v>
      </c>
      <c r="B520" s="1" t="str">
        <f ca="1">IFERROR(__xludf.DUMMYFUNCTION("GOOGLETRANSLATE(B520, ""en"", ""ko"")"),"직업")</f>
        <v>직업</v>
      </c>
      <c r="C520" s="1">
        <v>11487</v>
      </c>
      <c r="D520" s="1">
        <v>1.5</v>
      </c>
      <c r="E520" s="1" t="str">
        <f ca="1">IFERROR(__xludf.DUMMYFUNCTION("GOOGLETRANSLATE(E520, ""en"", ""ko"")"),"우편 배달, 오토바이")</f>
        <v>우편 배달, 오토바이</v>
      </c>
      <c r="M520" s="1"/>
      <c r="O520" s="1"/>
    </row>
    <row r="521" spans="1:15" ht="16.5" customHeight="1">
      <c r="A521" s="1">
        <v>519</v>
      </c>
      <c r="B521" s="1" t="str">
        <f ca="1">IFERROR(__xludf.DUMMYFUNCTION("GOOGLETRANSLATE(B521, ""en"", ""ko"")"),"직업")</f>
        <v>직업</v>
      </c>
      <c r="C521" s="1">
        <v>11488</v>
      </c>
      <c r="D521" s="1">
        <v>3.5</v>
      </c>
      <c r="E521" s="1" t="str">
        <f ca="1">IFERROR(__xludf.DUMMYFUNCTION("GOOGLETRANSLATE(E521, ""en"", ""ko"")"),"우편 배달, 전자 보조 자전거")</f>
        <v>우편 배달, 전자 보조 자전거</v>
      </c>
      <c r="M521" s="1"/>
      <c r="O521" s="1"/>
    </row>
    <row r="522" spans="1:15" ht="16.5" customHeight="1">
      <c r="A522" s="1">
        <v>520</v>
      </c>
      <c r="B522" s="1" t="str">
        <f ca="1">IFERROR(__xludf.DUMMYFUNCTION("GOOGLETRANSLATE(B522, ""en"", ""ko"")"),"직업")</f>
        <v>직업</v>
      </c>
      <c r="C522" s="1">
        <v>11490</v>
      </c>
      <c r="D522" s="1">
        <v>7.5</v>
      </c>
      <c r="E522" s="1" t="str">
        <f ca="1">IFERROR(__xludf.DUMMYFUNCTION("GOOGLETRANSLATE(E522, ""en"", ""ko"")"),"75poud 이상의 무거운 물건을 옮기거나 운반하거나 밀 때(예: 책상, 이삿짐 운반 작업) 활동 시간만 해당")</f>
        <v>75poud 이상의 무거운 물건을 옮기거나 운반하거나 밀 때(예: 책상, 이삿짐 운반 작업) 활동 시간만 해당</v>
      </c>
      <c r="M522" s="1"/>
      <c r="O522" s="1"/>
    </row>
    <row r="523" spans="1:15" ht="16.5" customHeight="1">
      <c r="A523" s="1">
        <v>521</v>
      </c>
      <c r="B523" s="1" t="str">
        <f ca="1">IFERROR(__xludf.DUMMYFUNCTION("GOOGLETRANSLATE(B523, ""en"", ""ko"")"),"직업")</f>
        <v>직업</v>
      </c>
      <c r="C523" s="1">
        <v>11493</v>
      </c>
      <c r="D523" s="1">
        <v>8.5</v>
      </c>
      <c r="E523" s="1" t="str">
        <f ca="1">IFERROR(__xludf.DUMMYFUNCTION("GOOGLETRANSLATE(E523, ""en"", ""ko"")"),"광업, 일반 서비스, 시추, 광업 지원 직업(기계, 용접, 파이프 설치, 일반 건설)")</f>
        <v>광업, 일반 서비스, 시추, 광업 지원 직업(기계, 용접, 파이프 설치, 일반 건설)</v>
      </c>
      <c r="M523" s="1"/>
      <c r="O523" s="1"/>
    </row>
    <row r="524" spans="1:15" ht="16.5" customHeight="1">
      <c r="A524" s="1">
        <v>522</v>
      </c>
      <c r="B524" s="1" t="str">
        <f ca="1">IFERROR(__xludf.DUMMYFUNCTION("GOOGLETRANSLATE(B524, ""en"", ""ko"")"),"직업")</f>
        <v>직업</v>
      </c>
      <c r="C524" s="1">
        <v>11495</v>
      </c>
      <c r="D524" s="1">
        <v>12</v>
      </c>
      <c r="E524" s="1" t="str">
        <f ca="1">IFERROR(__xludf.DUMMYFUNCTION("GOOGLETRANSLATE(E524, ""en"", ""ko"")"),"잠수부, 해군 특수부대원으로 스킨다이빙 또는 스쿠버 다이빙")</f>
        <v>잠수부, 해군 특수부대원으로 스킨다이빙 또는 스쿠버 다이빙</v>
      </c>
      <c r="M524" s="1"/>
      <c r="O524" s="1"/>
    </row>
    <row r="525" spans="1:15" ht="16.5" customHeight="1">
      <c r="A525" s="1">
        <v>523</v>
      </c>
      <c r="B525" s="1" t="str">
        <f ca="1">IFERROR(__xludf.DUMMYFUNCTION("GOOGLETRANSLATE(B525, ""en"", ""ko"")"),"직업")</f>
        <v>직업</v>
      </c>
      <c r="C525" s="1">
        <v>11500</v>
      </c>
      <c r="D525" s="1">
        <v>2.5</v>
      </c>
      <c r="E525" s="1" t="str">
        <f ca="1">IFERROR(__xludf.DUMMYFUNCTION("GOOGLETRANSLATE(E525, ""en"", ""ko"")"),"중장비 운전, 자동화, 운전 불가")</f>
        <v>중장비 운전, 자동화, 운전 불가</v>
      </c>
      <c r="M525" s="1"/>
      <c r="O525" s="1"/>
    </row>
    <row r="526" spans="1:15" ht="16.5" customHeight="1">
      <c r="A526" s="1">
        <v>524</v>
      </c>
      <c r="B526" s="1" t="str">
        <f ca="1">IFERROR(__xludf.DUMMYFUNCTION("GOOGLETRANSLATE(B526, ""en"", ""ko"")"),"직업")</f>
        <v>직업</v>
      </c>
      <c r="C526" s="1">
        <v>11510</v>
      </c>
      <c r="D526" s="1">
        <v>3.5</v>
      </c>
      <c r="E526" s="1" t="str">
        <f ca="1">IFERROR(__xludf.DUMMYFUNCTION("GOOGLETRANSLATE(E526, ""en"", ""ko"")"),"오렌지 농장 작업, 과일 따기")</f>
        <v>오렌지 농장 작업, 과일 따기</v>
      </c>
      <c r="M526" s="1"/>
      <c r="O526" s="1"/>
    </row>
    <row r="527" spans="1:15" ht="16.5" customHeight="1">
      <c r="A527" s="1">
        <v>525</v>
      </c>
      <c r="B527" s="1" t="str">
        <f ca="1">IFERROR(__xludf.DUMMYFUNCTION("GOOGLETRANSLATE(B527, ""en"", ""ko"")"),"직업")</f>
        <v>직업</v>
      </c>
      <c r="C527" s="1">
        <v>11514</v>
      </c>
      <c r="D527" s="1">
        <v>3.3</v>
      </c>
      <c r="E527" s="1" t="str">
        <f ca="1">IFERROR(__xludf.DUMMYFUNCTION("GOOGLETRANSLATE(E527, ""en"", ""ko"")"),"그림, 집, 가구, 적당한 노력")</f>
        <v>그림, 집, 가구, 적당한 노력</v>
      </c>
      <c r="M527" s="1"/>
      <c r="O527" s="1"/>
    </row>
    <row r="528" spans="1:15" ht="16.5" customHeight="1">
      <c r="A528" s="1">
        <v>526</v>
      </c>
      <c r="B528" s="1" t="str">
        <f ca="1">IFERROR(__xludf.DUMMYFUNCTION("GOOGLETRANSLATE(B528, ""en"", ""ko"")"),"직업")</f>
        <v>직업</v>
      </c>
      <c r="C528" s="1">
        <v>11516</v>
      </c>
      <c r="D528" s="1">
        <v>3</v>
      </c>
      <c r="E528" s="1" t="str">
        <f ca="1">IFERROR(__xludf.DUMMYFUNCTION("GOOGLETRANSLATE(E528, ""en"", ""ko"")"),"배관 활동")</f>
        <v>배관 활동</v>
      </c>
      <c r="M528" s="1"/>
      <c r="O528" s="1"/>
    </row>
    <row r="529" spans="1:15" ht="16.5" customHeight="1">
      <c r="A529" s="1">
        <v>527</v>
      </c>
      <c r="B529" s="1" t="str">
        <f ca="1">IFERROR(__xludf.DUMMYFUNCTION("GOOGLETRANSLATE(B529, ""en"", ""ko"")"),"직업")</f>
        <v>직업</v>
      </c>
      <c r="C529" s="1">
        <v>11520</v>
      </c>
      <c r="D529" s="1">
        <v>2</v>
      </c>
      <c r="E529" s="1" t="str">
        <f ca="1">IFERROR(__xludf.DUMMYFUNCTION("GOOGLETRANSLATE(E529, ""en"", ""ko"")"),"인쇄, 제지 산업 종사자, 서 있음")</f>
        <v>인쇄, 제지 산업 종사자, 서 있음</v>
      </c>
      <c r="M529" s="1"/>
      <c r="O529" s="1"/>
    </row>
    <row r="530" spans="1:15" ht="16.5" customHeight="1">
      <c r="A530" s="1">
        <v>528</v>
      </c>
      <c r="B530" s="1" t="str">
        <f ca="1">IFERROR(__xludf.DUMMYFUNCTION("GOOGLETRANSLATE(B530, ""en"", ""ko"")"),"직업")</f>
        <v>직업</v>
      </c>
      <c r="C530" s="1">
        <v>11524</v>
      </c>
      <c r="D530" s="1">
        <v>3.8</v>
      </c>
      <c r="E530" s="1" t="str">
        <f ca="1">IFERROR(__xludf.DUMMYFUNCTION("GOOGLETRANSLATE(E530, ""en"", ""ko"")"),"경찰관, 걷기")</f>
        <v>경찰관, 걷기</v>
      </c>
      <c r="M530" s="1"/>
      <c r="O530" s="1"/>
    </row>
    <row r="531" spans="1:15" ht="16.5" customHeight="1">
      <c r="A531" s="1">
        <v>529</v>
      </c>
      <c r="B531" s="1" t="str">
        <f ca="1">IFERROR(__xludf.DUMMYFUNCTION("GOOGLETRANSLATE(B531, ""en"", ""ko"")"),"직업")</f>
        <v>직업</v>
      </c>
      <c r="C531" s="1">
        <v>11525</v>
      </c>
      <c r="D531" s="1">
        <v>2.5</v>
      </c>
      <c r="E531" s="1" t="str">
        <f ca="1">IFERROR(__xludf.DUMMYFUNCTION("GOOGLETRANSLATE(E531, ""en"", ""ko"")"),"경찰, 교통 지휘, 서 있음")</f>
        <v>경찰, 교통 지휘, 서 있음</v>
      </c>
      <c r="M531" s="1"/>
      <c r="O531" s="1"/>
    </row>
    <row r="532" spans="1:15" ht="16.5" customHeight="1">
      <c r="A532" s="1">
        <v>530</v>
      </c>
      <c r="B532" s="1" t="str">
        <f ca="1">IFERROR(__xludf.DUMMYFUNCTION("GOOGLETRANSLATE(B532, ""en"", ""ko"")"),"직업")</f>
        <v>직업</v>
      </c>
      <c r="C532" s="1">
        <v>11526</v>
      </c>
      <c r="D532" s="1">
        <v>2</v>
      </c>
      <c r="E532" s="1" t="str">
        <f ca="1">IFERROR(__xludf.DUMMYFUNCTION("GOOGLETRANSLATE(E532, ""en"", ""ko"")"),"경찰, 순찰차 운전, 앉아")</f>
        <v>경찰, 순찰차 운전, 앉아</v>
      </c>
      <c r="M532" s="1"/>
      <c r="O532" s="1"/>
    </row>
    <row r="533" spans="1:15" ht="16.5" customHeight="1">
      <c r="A533" s="1">
        <v>531</v>
      </c>
      <c r="B533" s="1" t="str">
        <f ca="1">IFERROR(__xludf.DUMMYFUNCTION("GOOGLETRANSLATE(B533, ""en"", ""ko"")"),"직업")</f>
        <v>직업</v>
      </c>
      <c r="C533" s="1">
        <v>11527</v>
      </c>
      <c r="D533" s="1">
        <v>1.3</v>
      </c>
      <c r="E533" s="1" t="str">
        <f ca="1">IFERROR(__xludf.DUMMYFUNCTION("GOOGLETRANSLATE(E533, ""en"", ""ko"")"),"경찰차에 타고 앉아 있는 경찰")</f>
        <v>경찰차에 타고 앉아 있는 경찰</v>
      </c>
      <c r="M533" s="1"/>
      <c r="O533" s="1"/>
    </row>
    <row r="534" spans="1:15" ht="16.5" customHeight="1">
      <c r="A534" s="1">
        <v>532</v>
      </c>
      <c r="B534" s="1" t="str">
        <f ca="1">IFERROR(__xludf.DUMMYFUNCTION("GOOGLETRANSLATE(B534, ""en"", ""ko"")"),"직업")</f>
        <v>직업</v>
      </c>
      <c r="C534" s="1">
        <v>11528</v>
      </c>
      <c r="D534" s="1">
        <v>4</v>
      </c>
      <c r="E534" s="1" t="str">
        <f ca="1">IFERROR(__xludf.DUMMYFUNCTION("GOOGLETRANSLATE(E534, ""en"", ""ko"")"),"경찰, 체포하고 서 있다")</f>
        <v>경찰, 체포하고 서 있다</v>
      </c>
      <c r="M534" s="1"/>
      <c r="O534" s="1"/>
    </row>
    <row r="535" spans="1:15" ht="16.5" customHeight="1">
      <c r="A535" s="1">
        <v>533</v>
      </c>
      <c r="B535" s="1" t="str">
        <f ca="1">IFERROR(__xludf.DUMMYFUNCTION("GOOGLETRANSLATE(B535, ""en"", ""ko"")"),"직업")</f>
        <v>직업</v>
      </c>
      <c r="C535" s="1">
        <v>11529</v>
      </c>
      <c r="D535" s="1">
        <v>9</v>
      </c>
      <c r="E535" s="1" t="str">
        <f ca="1">IFERROR(__xludf.DUMMYFUNCTION("GOOGLETRANSLATE(E535, ""en"", ""ko"")"),"대테러 작전, 건물 청소")</f>
        <v>대테러 작전, 건물 청소</v>
      </c>
      <c r="M535" s="1"/>
      <c r="O535" s="1"/>
    </row>
    <row r="536" spans="1:15" ht="16.5" customHeight="1">
      <c r="A536" s="1">
        <v>534</v>
      </c>
      <c r="B536" s="1" t="str">
        <f ca="1">IFERROR(__xludf.DUMMYFUNCTION("GOOGLETRANSLATE(B536, ""en"", ""ko"")"),"직업")</f>
        <v>직업</v>
      </c>
      <c r="C536" s="1">
        <v>11530</v>
      </c>
      <c r="D536" s="1">
        <v>2</v>
      </c>
      <c r="E536" s="1" t="str">
        <f ca="1">IFERROR(__xludf.DUMMYFUNCTION("GOOGLETRANSLATE(E536, ""en"", ""ko"")"),"신발 수선, 일반")</f>
        <v>신발 수선, 일반</v>
      </c>
      <c r="M536" s="1"/>
      <c r="O536" s="1"/>
    </row>
    <row r="537" spans="1:15" ht="16.5" customHeight="1">
      <c r="A537" s="1">
        <v>535</v>
      </c>
      <c r="B537" s="1" t="str">
        <f ca="1">IFERROR(__xludf.DUMMYFUNCTION("GOOGLETRANSLATE(B537, ""en"", ""ko"")"),"직업")</f>
        <v>직업</v>
      </c>
      <c r="C537" s="1">
        <v>11540</v>
      </c>
      <c r="D537" s="1">
        <v>7.3</v>
      </c>
      <c r="E537" s="1" t="str">
        <f ca="1">IFERROR(__xludf.DUMMYFUNCTION("GOOGLETRANSLATE(E537, ""en"", ""ko"")"),"삽질, 도랑 파기")</f>
        <v>삽질, 도랑 파기</v>
      </c>
      <c r="M537" s="1"/>
      <c r="O537" s="1"/>
    </row>
    <row r="538" spans="1:15" ht="16.5" customHeight="1">
      <c r="A538" s="1">
        <v>536</v>
      </c>
      <c r="B538" s="1" t="str">
        <f ca="1">IFERROR(__xludf.DUMMYFUNCTION("GOOGLETRANSLATE(B538, ""en"", ""ko"")"),"직업")</f>
        <v>직업</v>
      </c>
      <c r="C538" s="1">
        <v>11550</v>
      </c>
      <c r="D538" s="1">
        <v>8.8000000000000007</v>
      </c>
      <c r="E538" s="1" t="str">
        <f ca="1">IFERROR(__xludf.DUMMYFUNCTION("GOOGLETRANSLATE(E538, ""en"", ""ko"")"),"삽질, 분당 16poud 이상, 깊이 파기, 힘찬 노력")</f>
        <v>삽질, 분당 16poud 이상, 깊이 파기, 힘찬 노력</v>
      </c>
      <c r="M538" s="1"/>
      <c r="O538" s="1"/>
    </row>
    <row r="539" spans="1:15" ht="16.5" customHeight="1">
      <c r="A539" s="1">
        <v>537</v>
      </c>
      <c r="B539" s="1" t="str">
        <f ca="1">IFERROR(__xludf.DUMMYFUNCTION("GOOGLETRANSLATE(B539, ""en"", ""ko"")"),"직업")</f>
        <v>직업</v>
      </c>
      <c r="C539" s="1">
        <v>11560</v>
      </c>
      <c r="D539" s="1">
        <v>5</v>
      </c>
      <c r="E539" s="1" t="str">
        <f ca="1">IFERROR(__xludf.DUMMYFUNCTION("GOOGLETRANSLATE(E539, ""en"", ""ko"")"),"삽질, 분당 10poud 미만, 중간 정도의 노력")</f>
        <v>삽질, 분당 10poud 미만, 중간 정도의 노력</v>
      </c>
      <c r="M539" s="1"/>
      <c r="O539" s="1"/>
    </row>
    <row r="540" spans="1:15" ht="16.5" customHeight="1">
      <c r="A540" s="1">
        <v>538</v>
      </c>
      <c r="B540" s="1" t="str">
        <f ca="1">IFERROR(__xludf.DUMMYFUNCTION("GOOGLETRANSLATE(B540, ""en"", ""ko"")"),"직업")</f>
        <v>직업</v>
      </c>
      <c r="C540" s="1">
        <v>11570</v>
      </c>
      <c r="D540" s="1">
        <v>6.5</v>
      </c>
      <c r="E540" s="1" t="str">
        <f ca="1">IFERROR(__xludf.DUMMYFUNCTION("GOOGLETRANSLATE(E540, ""en"", ""ko"")"),"삽질, 분당 10~15poud, 힘차게 노력")</f>
        <v>삽질, 분당 10~15poud, 힘차게 노력</v>
      </c>
      <c r="M540" s="1"/>
      <c r="O540" s="1"/>
    </row>
    <row r="541" spans="1:15" ht="16.5" customHeight="1">
      <c r="A541" s="1">
        <v>539</v>
      </c>
      <c r="B541" s="1" t="str">
        <f ca="1">IFERROR(__xludf.DUMMYFUNCTION("GOOGLETRANSLATE(B541, ""en"", ""ko"")"),"직업")</f>
        <v>직업</v>
      </c>
      <c r="C541" s="1">
        <v>11580</v>
      </c>
      <c r="D541" s="1">
        <v>1.5</v>
      </c>
      <c r="E541" s="1" t="str">
        <f ca="1">IFERROR(__xludf.DUMMYFUNCTION("GOOGLETRANSLATE(E541, ""en"", ""ko"")"),"앉아서 하는 작업, 가벼운 노력(예: 사무실 작업, 화학 실험실 작업, 가벼운 조립 수리, 시계 수리, 독서, 책상 작업)")</f>
        <v>앉아서 하는 작업, 가벼운 노력(예: 사무실 작업, 화학 실험실 작업, 가벼운 조립 수리, 시계 수리, 독서, 책상 작업)</v>
      </c>
      <c r="M541" s="1"/>
      <c r="O541" s="1"/>
    </row>
    <row r="542" spans="1:15" ht="16.5" customHeight="1">
      <c r="A542" s="1">
        <v>540</v>
      </c>
      <c r="B542" s="1" t="str">
        <f ca="1">IFERROR(__xludf.DUMMYFUNCTION("GOOGLETRANSLATE(B542, ""en"", ""ko"")"),"직업")</f>
        <v>직업</v>
      </c>
      <c r="C542" s="1">
        <v>11582</v>
      </c>
      <c r="D542" s="1">
        <v>1.3</v>
      </c>
      <c r="E542" s="1" t="str">
        <f ca="1">IFERROR(__xludf.DUMMYFUNCTION("GOOGLETRANSLATE(E542, ""en"", ""ko"")"),"앉아서 컴퓨터 작업")</f>
        <v>앉아서 컴퓨터 작업</v>
      </c>
      <c r="M542" s="1"/>
      <c r="O542" s="1"/>
    </row>
    <row r="543" spans="1:15" ht="16.5" customHeight="1">
      <c r="A543" s="1">
        <v>541</v>
      </c>
      <c r="B543" s="1" t="str">
        <f ca="1">IFERROR(__xludf.DUMMYFUNCTION("GOOGLETRANSLATE(B543, ""en"", ""ko"")"),"직업")</f>
        <v>직업</v>
      </c>
      <c r="C543" s="1">
        <v>11583</v>
      </c>
      <c r="D543" s="1">
        <v>1.3</v>
      </c>
      <c r="E543" s="1" t="str">
        <f ca="1">IFERROR(__xludf.DUMMYFUNCTION("GOOGLETRANSLATE(E543, ""en"", ""ko"")"),"서서 작업, 타이핑, 컴퓨터 작업")</f>
        <v>서서 작업, 타이핑, 컴퓨터 작업</v>
      </c>
      <c r="M543" s="1"/>
      <c r="O543" s="1"/>
    </row>
    <row r="544" spans="1:15" ht="16.5" customHeight="1">
      <c r="A544" s="1">
        <v>542</v>
      </c>
      <c r="B544" s="1" t="str">
        <f ca="1">IFERROR(__xludf.DUMMYFUNCTION("GOOGLETRANSLATE(B544, ""en"", ""ko"")"),"직업")</f>
        <v>직업</v>
      </c>
      <c r="C544" s="1">
        <v>11585</v>
      </c>
      <c r="D544" s="1">
        <v>1.3</v>
      </c>
      <c r="E544" s="1" t="str">
        <f ca="1">IFERROR(__xludf.DUMMYFUNCTION("GOOGLETRANSLATE(E544, ""en"", ""ko"")"),"앉아서 하는 회의, 가벼운 노력, 일반적인 회의 및/또는 대화가 포함된 회의(예: 비즈니스 회의에서 식사)")</f>
        <v>앉아서 하는 회의, 가벼운 노력, 일반적인 회의 및/또는 대화가 포함된 회의(예: 비즈니스 회의에서 식사)</v>
      </c>
      <c r="M544" s="1"/>
      <c r="O544" s="1"/>
    </row>
    <row r="545" spans="1:15" ht="16.5" customHeight="1">
      <c r="A545" s="1">
        <v>543</v>
      </c>
      <c r="B545" s="1" t="str">
        <f ca="1">IFERROR(__xludf.DUMMYFUNCTION("GOOGLETRANSLATE(B545, ""en"", ""ko"")"),"직업")</f>
        <v>직업</v>
      </c>
      <c r="C545" s="1">
        <v>11590</v>
      </c>
      <c r="D545" s="1">
        <v>2.5</v>
      </c>
      <c r="E545" s="1" t="str">
        <f ca="1">IFERROR(__xludf.DUMMYFUNCTION("GOOGLETRANSLATE(E545, ""en"", ""ko"")"),"앉아서 하는 작업, 중간 정도의 노력(예: 무거운 레버 밀기, 잔디 깎는 기계/지게차 타기, 크레인 조작)")</f>
        <v>앉아서 하는 작업, 중간 정도의 노력(예: 무거운 레버 밀기, 잔디 깎는 기계/지게차 타기, 크레인 조작)</v>
      </c>
      <c r="M545" s="1"/>
      <c r="O545" s="1"/>
    </row>
    <row r="546" spans="1:15" ht="16.5" customHeight="1">
      <c r="A546" s="1">
        <v>544</v>
      </c>
      <c r="B546" s="1" t="str">
        <f ca="1">IFERROR(__xludf.DUMMYFUNCTION("GOOGLETRANSLATE(B546, ""en"", ""ko"")"),"직업")</f>
        <v>직업</v>
      </c>
      <c r="C546" s="1">
        <v>11593</v>
      </c>
      <c r="D546" s="1">
        <v>2.8</v>
      </c>
      <c r="E546" s="1" t="str">
        <f ca="1">IFERROR(__xludf.DUMMYFUNCTION("GOOGLETRANSLATE(E546, ""en"", ""ko"")"),"앉아서 스트레칭이나 요가를 가르치거나 가벼운 노력 운동 수업을 합니다.")</f>
        <v>앉아서 스트레칭이나 요가를 가르치거나 가벼운 노력 운동 수업을 합니다.</v>
      </c>
      <c r="M546" s="1"/>
      <c r="O546" s="1"/>
    </row>
    <row r="547" spans="1:15" ht="16.5" customHeight="1">
      <c r="A547" s="1">
        <v>545</v>
      </c>
      <c r="B547" s="1" t="str">
        <f ca="1">IFERROR(__xludf.DUMMYFUNCTION("GOOGLETRANSLATE(B547, ""en"", ""ko"")"),"직업")</f>
        <v>직업</v>
      </c>
      <c r="C547" s="1">
        <v>11600</v>
      </c>
      <c r="D547" s="1">
        <v>1.8</v>
      </c>
      <c r="E547" s="1" t="str">
        <f ca="1">IFERROR(__xludf.DUMMYFUNCTION("GOOGLETRANSLATE(E547, ""en"", ""ko"")"),"서서 하는 일, 가벼운 노력(예: 바텐더, 점원, 조립, 서류 정리, 복사, 사서, 크리스마스 트리 세우기)")</f>
        <v>서서 하는 일, 가벼운 노력(예: 바텐더, 점원, 조립, 서류 정리, 복사, 사서, 크리스마스 트리 세우기)</v>
      </c>
      <c r="M547" s="1"/>
      <c r="O547" s="1"/>
    </row>
    <row r="548" spans="1:15" ht="16.5" customHeight="1">
      <c r="A548" s="1">
        <v>546</v>
      </c>
      <c r="B548" s="1" t="str">
        <f ca="1">IFERROR(__xludf.DUMMYFUNCTION("GOOGLETRANSLATE(B548, ""en"", ""ko"")"),"직업")</f>
        <v>직업</v>
      </c>
      <c r="C548" s="1">
        <v>11600</v>
      </c>
      <c r="D548" s="1">
        <v>1.8</v>
      </c>
      <c r="E548" s="1" t="str">
        <f ca="1">IFERROR(__xludf.DUMMYFUNCTION("GOOGLETRANSLATE(E548, ""en"", ""ko"")"),"서서 하는 일, 가벼운 노력(예: 바텐더, 점원, 조립, 서류 정리, 복사, 사서, 크리스마스 트리 세우기, 직장에서 서서 이야기하기, 체육 수업을 가르칠 때 옷 갈아입기)")</f>
        <v>서서 하는 일, 가벼운 노력(예: 바텐더, 점원, 조립, 서류 정리, 복사, 사서, 크리스마스 트리 세우기, 직장에서 서서 이야기하기, 체육 수업을 가르칠 때 옷 갈아입기)</v>
      </c>
      <c r="M548" s="1"/>
      <c r="O548" s="1"/>
    </row>
    <row r="549" spans="1:15" ht="16.5" customHeight="1">
      <c r="A549" s="1">
        <v>547</v>
      </c>
      <c r="B549" s="1" t="str">
        <f ca="1">IFERROR(__xludf.DUMMYFUNCTION("GOOGLETRANSLATE(B549, ""en"", ""ko"")"),"직업")</f>
        <v>직업</v>
      </c>
      <c r="C549" s="1">
        <v>11610</v>
      </c>
      <c r="D549" s="1">
        <v>3.3</v>
      </c>
      <c r="E549" s="1" t="str">
        <f ca="1">IFERROR(__xludf.DUMMYFUNCTION("GOOGLETRANSLATE(E549, ""en"", ""ko"")"),"서서 하는 가벼운/중간 강도의 노력(예: 무거운 부품 조립/수리, 용접, 부품 보관, 자동차 수리, 상자 포장, 간호)")</f>
        <v>서서 하는 가벼운/중간 강도의 노력(예: 무거운 부품 조립/수리, 용접, 부품 보관, 자동차 수리, 상자 포장, 간호)</v>
      </c>
      <c r="M549" s="1"/>
      <c r="O549" s="1"/>
    </row>
    <row r="550" spans="1:15" ht="16.5" customHeight="1">
      <c r="A550" s="1">
        <v>548</v>
      </c>
      <c r="B550" s="1" t="str">
        <f ca="1">IFERROR(__xludf.DUMMYFUNCTION("GOOGLETRANSLATE(B550, ""en"", ""ko"")"),"직업")</f>
        <v>직업</v>
      </c>
      <c r="C550" s="1">
        <v>11610</v>
      </c>
      <c r="D550" s="1">
        <v>3.3</v>
      </c>
      <c r="E550" s="1" t="str">
        <f ca="1">IFERROR(__xludf.DUMMYFUNCTION("GOOGLETRANSLATE(E550, ""en"", ""ko"")"),"서서 하는 가벼운/중간 강도의 작업(예: 무거운 부품 조립/수리, 용접, 부품 보관, 자동차 수리, 상자 포장, 환자 간호, 세탁)")</f>
        <v>서서 하는 가벼운/중간 강도의 작업(예: 무거운 부품 조립/수리, 용접, 부품 보관, 자동차 수리, 상자 포장, 환자 간호, 세탁)</v>
      </c>
      <c r="M550" s="1"/>
      <c r="O550" s="1"/>
    </row>
    <row r="551" spans="1:15" ht="16.5" customHeight="1">
      <c r="A551" s="1">
        <v>549</v>
      </c>
      <c r="B551" s="1" t="str">
        <f ca="1">IFERROR(__xludf.DUMMYFUNCTION("GOOGLETRANSLATE(B551, ""en"", ""ko"")"),"직업")</f>
        <v>직업</v>
      </c>
      <c r="C551" s="1">
        <v>11615</v>
      </c>
      <c r="D551" s="1">
        <v>4.5</v>
      </c>
      <c r="E551" s="1" t="str">
        <f ca="1">IFERROR(__xludf.DUMMYFUNCTION("GOOGLETRANSLATE(E551, ""en"", ""ko"")"),"서서, 중간 정도의 노력, 10~20poud의 물건을 계속 들어올리기, 걷기나 휴식은 제한적")</f>
        <v>서서, 중간 정도의 노력, 10~20poud의 물건을 계속 들어올리기, 걷기나 휴식은 제한적</v>
      </c>
      <c r="M551" s="1"/>
      <c r="O551" s="1"/>
    </row>
    <row r="552" spans="1:15" ht="16.5" customHeight="1">
      <c r="A552" s="1">
        <v>550</v>
      </c>
      <c r="B552" s="1" t="str">
        <f ca="1">IFERROR(__xludf.DUMMYFUNCTION("GOOGLETRANSLATE(B552, ""en"", ""ko"")"),"직업")</f>
        <v>직업</v>
      </c>
      <c r="C552" s="1">
        <v>11620</v>
      </c>
      <c r="D552" s="1">
        <v>3.8</v>
      </c>
      <c r="E552" s="1" t="str">
        <f ca="1">IFERROR(__xludf.DUMMYFUNCTION("GOOGLETRANSLATE(E552, ""en"", ""ko"")"),"서서, 중간 정도의 노력, 간헐적으로 50poud 들어올리기, 로프를 묶거나 꼬기")</f>
        <v>서서, 중간 정도의 노력, 간헐적으로 50poud 들어올리기, 로프를 묶거나 꼬기</v>
      </c>
      <c r="M552" s="1"/>
      <c r="O552" s="1"/>
    </row>
    <row r="553" spans="1:15" ht="16.5" customHeight="1">
      <c r="A553" s="1">
        <v>551</v>
      </c>
      <c r="B553" s="1" t="str">
        <f ca="1">IFERROR(__xludf.DUMMYFUNCTION("GOOGLETRANSLATE(B553, ""en"", ""ko"")"),"직업")</f>
        <v>직업</v>
      </c>
      <c r="C553" s="1">
        <v>11630</v>
      </c>
      <c r="D553" s="1">
        <v>4.5</v>
      </c>
      <c r="E553" s="1" t="str">
        <f ca="1">IFERROR(__xludf.DUMMYFUNCTION("GOOGLETRANSLATE(E553, ""en"", ""ko"")"),"서서 하는 작업, 중간/무거운 작업(예: 50poud 이상 들어올리기, 석공, 페인팅, 종이 걸기)")</f>
        <v>서서 하는 작업, 중간/무거운 작업(예: 50poud 이상 들어올리기, 석공, 페인팅, 종이 걸기)</v>
      </c>
      <c r="M553" s="1"/>
      <c r="O553" s="1"/>
    </row>
    <row r="554" spans="1:15" ht="16.5" customHeight="1">
      <c r="A554" s="1">
        <v>552</v>
      </c>
      <c r="B554" s="1" t="str">
        <f ca="1">IFERROR(__xludf.DUMMYFUNCTION("GOOGLETRANSLATE(B554, ""en"", ""ko"")"),"직업")</f>
        <v>직업</v>
      </c>
      <c r="C554" s="1">
        <v>11650</v>
      </c>
      <c r="D554" s="1">
        <v>2.2999999999999998</v>
      </c>
      <c r="E554" s="1" t="str">
        <f ca="1">IFERROR(__xludf.DUMMYFUNCTION("GOOGLETRANSLATE(E554, ""en"", ""ko"")"),"환자 치료, 의료 활동")</f>
        <v>환자 치료, 의료 활동</v>
      </c>
      <c r="M554" s="1"/>
      <c r="O554" s="1"/>
    </row>
    <row r="555" spans="1:15" ht="16.5" customHeight="1">
      <c r="A555" s="1">
        <v>553</v>
      </c>
      <c r="B555" s="1" t="str">
        <f ca="1">IFERROR(__xludf.DUMMYFUNCTION("GOOGLETRANSLATE(B555, ""en"", ""ko"")"),"직업")</f>
        <v>직업</v>
      </c>
      <c r="C555" s="1">
        <v>11660</v>
      </c>
      <c r="D555" s="1">
        <v>3.5</v>
      </c>
      <c r="E555" s="1" t="str">
        <f ca="1">IFERROR(__xludf.DUMMYFUNCTION("GOOGLETRANSLATE(E555, ""en"", ""ko"")"),"환자 케어, 병실 청소/준비")</f>
        <v>환자 케어, 병실 청소/준비</v>
      </c>
      <c r="M555" s="1"/>
      <c r="O555" s="1"/>
    </row>
    <row r="556" spans="1:15" ht="16.5" customHeight="1">
      <c r="A556" s="1">
        <v>554</v>
      </c>
      <c r="B556" s="1" t="str">
        <f ca="1">IFERROR(__xludf.DUMMYFUNCTION("GOOGLETRANSLATE(B556, ""en"", ""ko"")"),"직업")</f>
        <v>직업</v>
      </c>
      <c r="C556" s="1">
        <v>11708</v>
      </c>
      <c r="D556" s="1">
        <v>5.3</v>
      </c>
      <c r="E556" s="1" t="str">
        <f ca="1">IFERROR(__xludf.DUMMYFUNCTION("GOOGLETRANSLATE(E556, ""en"", ""ko"")"),"제철소, 중간 정도의 노력(예: 다듬기, 단조, 금형 기울이기)")</f>
        <v>제철소, 중간 정도의 노력(예: 다듬기, 단조, 금형 기울이기)</v>
      </c>
      <c r="M556" s="1"/>
      <c r="O556" s="1"/>
    </row>
    <row r="557" spans="1:15" ht="16.5" customHeight="1">
      <c r="A557" s="1">
        <v>555</v>
      </c>
      <c r="B557" s="1" t="str">
        <f ca="1">IFERROR(__xludf.DUMMYFUNCTION("GOOGLETRANSLATE(B557, ""en"", ""ko"")"),"직업")</f>
        <v>직업</v>
      </c>
      <c r="C557" s="1">
        <v>11710</v>
      </c>
      <c r="D557" s="1">
        <v>8.3000000000000007</v>
      </c>
      <c r="E557" s="1" t="str">
        <f ca="1">IFERROR(__xludf.DUMMYFUNCTION("GOOGLETRANSLATE(E557, ""en"", ""ko"")"),"제철소, 강력한 노력(예: 수동 압연, 상선 압연, 슬래그 제거, 용광로 관리)")</f>
        <v>제철소, 강력한 노력(예: 수동 압연, 상선 압연, 슬래그 제거, 용광로 관리)</v>
      </c>
      <c r="M557" s="1"/>
      <c r="O557" s="1"/>
    </row>
    <row r="558" spans="1:15" ht="16.5" customHeight="1">
      <c r="A558" s="1">
        <v>556</v>
      </c>
      <c r="B558" s="1" t="str">
        <f ca="1">IFERROR(__xludf.DUMMYFUNCTION("GOOGLETRANSLATE(B558, ""en"", ""ko"")"),"직업")</f>
        <v>직업</v>
      </c>
      <c r="C558" s="1">
        <v>11720</v>
      </c>
      <c r="D558" s="1">
        <v>2.2999999999999998</v>
      </c>
      <c r="E558" s="1" t="str">
        <f ca="1">IFERROR(__xludf.DUMMYFUNCTION("GOOGLETRANSLATE(E558, ""en"", ""ko"")"),"재단, 원단 재단")</f>
        <v>재단, 원단 재단</v>
      </c>
      <c r="M558" s="1"/>
      <c r="O558" s="1"/>
    </row>
    <row r="559" spans="1:15" ht="16.5" customHeight="1">
      <c r="A559" s="1">
        <v>557</v>
      </c>
      <c r="B559" s="1" t="str">
        <f ca="1">IFERROR(__xludf.DUMMYFUNCTION("GOOGLETRANSLATE(B559, ""en"", ""ko"")"),"직업")</f>
        <v>직업</v>
      </c>
      <c r="C559" s="1">
        <v>11730</v>
      </c>
      <c r="D559" s="1">
        <v>2.5</v>
      </c>
      <c r="E559" s="1" t="str">
        <f ca="1">IFERROR(__xludf.DUMMYFUNCTION("GOOGLETRANSLATE(E559, ""en"", ""ko"")"),"재봉, 일반")</f>
        <v>재봉, 일반</v>
      </c>
      <c r="M559" s="1"/>
      <c r="O559" s="1"/>
    </row>
    <row r="560" spans="1:15" ht="16.5" customHeight="1">
      <c r="A560" s="1">
        <v>558</v>
      </c>
      <c r="B560" s="1" t="str">
        <f ca="1">IFERROR(__xludf.DUMMYFUNCTION("GOOGLETRANSLATE(B560, ""en"", ""ko"")"),"직업")</f>
        <v>직업</v>
      </c>
      <c r="C560" s="1">
        <v>11740</v>
      </c>
      <c r="D560" s="1">
        <v>1.8</v>
      </c>
      <c r="E560" s="1" t="str">
        <f ca="1">IFERROR(__xludf.DUMMYFUNCTION("GOOGLETRANSLATE(E560, ""en"", ""ko"")"),"맞춤, 손바느질")</f>
        <v>맞춤, 손바느질</v>
      </c>
      <c r="M560" s="1"/>
      <c r="O560" s="1"/>
    </row>
    <row r="561" spans="1:15" ht="16.5" customHeight="1">
      <c r="A561" s="1">
        <v>559</v>
      </c>
      <c r="B561" s="1" t="str">
        <f ca="1">IFERROR(__xludf.DUMMYFUNCTION("GOOGLETRANSLATE(B561, ""en"", ""ko"")"),"직업")</f>
        <v>직업</v>
      </c>
      <c r="C561" s="1">
        <v>11750</v>
      </c>
      <c r="D561" s="1">
        <v>2.5</v>
      </c>
      <c r="E561" s="1" t="str">
        <f ca="1">IFERROR(__xludf.DUMMYFUNCTION("GOOGLETRANSLATE(E561, ""en"", ""ko"")"),"재봉, 기계 재봉")</f>
        <v>재봉, 기계 재봉</v>
      </c>
      <c r="M561" s="1"/>
      <c r="O561" s="1"/>
    </row>
    <row r="562" spans="1:15" ht="16.5" customHeight="1">
      <c r="A562" s="1">
        <v>560</v>
      </c>
      <c r="B562" s="1" t="str">
        <f ca="1">IFERROR(__xludf.DUMMYFUNCTION("GOOGLETRANSLATE(B562, ""en"", ""ko"")"),"직업")</f>
        <v>직업</v>
      </c>
      <c r="C562" s="1">
        <v>11760</v>
      </c>
      <c r="D562" s="1">
        <v>3.5</v>
      </c>
      <c r="E562" s="1" t="str">
        <f ca="1">IFERROR(__xludf.DUMMYFUNCTION("GOOGLETRANSLATE(E562, ""en"", ""ko"")"),"맞춤, 프레싱")</f>
        <v>맞춤, 프레싱</v>
      </c>
      <c r="M562" s="1"/>
      <c r="O562" s="1"/>
    </row>
    <row r="563" spans="1:15" ht="16.5" customHeight="1">
      <c r="A563" s="1">
        <v>561</v>
      </c>
      <c r="B563" s="1" t="str">
        <f ca="1">IFERROR(__xludf.DUMMYFUNCTION("GOOGLETRANSLATE(B563, ""en"", ""ko"")"),"직업")</f>
        <v>직업</v>
      </c>
      <c r="C563" s="1">
        <v>11763</v>
      </c>
      <c r="D563" s="1">
        <v>2</v>
      </c>
      <c r="E563" s="1" t="str">
        <f ca="1">IFERROR(__xludf.DUMMYFUNCTION("GOOGLETRANSLATE(E563, ""en"", ""ko"")"),"재단, 직조, 가벼운 노력(예: 마무리 작업, 세탁, 염색, 천 검사, 야드 계산, 서류 작업)")</f>
        <v>재단, 직조, 가벼운 노력(예: 마무리 작업, 세탁, 염색, 천 검사, 야드 계산, 서류 작업)</v>
      </c>
      <c r="M563" s="1"/>
      <c r="O563" s="1"/>
    </row>
    <row r="564" spans="1:15" ht="16.5" customHeight="1">
      <c r="A564" s="1">
        <v>562</v>
      </c>
      <c r="B564" s="1" t="str">
        <f ca="1">IFERROR(__xludf.DUMMYFUNCTION("GOOGLETRANSLATE(B564, ""en"", ""ko"")"),"직업")</f>
        <v>직업</v>
      </c>
      <c r="C564" s="1">
        <v>11765</v>
      </c>
      <c r="D564" s="1">
        <v>4</v>
      </c>
      <c r="E564" s="1" t="str">
        <f ca="1">IFERROR(__xludf.DUMMYFUNCTION("GOOGLETRANSLATE(E564, ""en"", ""ko"")"),"재단, 직조, 중간 노력(예: 방적 및 직조 작업, 방적공에게 원사 상자 배달, 적재)")</f>
        <v>재단, 직조, 중간 노력(예: 방적 및 직조 작업, 방적공에게 원사 상자 배달, 적재)</v>
      </c>
      <c r="M564" s="1"/>
      <c r="O564" s="1"/>
    </row>
    <row r="565" spans="1:15" ht="16.5" customHeight="1">
      <c r="A565" s="1">
        <v>563</v>
      </c>
      <c r="B565" s="1" t="str">
        <f ca="1">IFERROR(__xludf.DUMMYFUNCTION("GOOGLETRANSLATE(B565, ""en"", ""ko"")"),"직업")</f>
        <v>직업</v>
      </c>
      <c r="C565" s="1">
        <v>11765</v>
      </c>
      <c r="D565" s="1">
        <v>4</v>
      </c>
      <c r="E565" s="1" t="str">
        <f ca="1">IFERROR(__xludf.DUMMYFUNCTION("GOOGLETRANSLATE(E565, ""en"", ""ko"")"),"재단, 직조, 중간 노력(예: 방적 및 직조 작업, 방적공에게 실 상자 배달, 날실 실 적재, 핀와인딩, 콘와인딩, 날실 감기, 천 뭉치기)")</f>
        <v>재단, 직조, 중간 노력(예: 방적 및 직조 작업, 방적공에게 실 상자 배달, 날실 실 적재, 핀와인딩, 콘와인딩, 날실 감기, 천 뭉치기)</v>
      </c>
      <c r="M565" s="1"/>
      <c r="O565" s="1"/>
    </row>
    <row r="566" spans="1:15" ht="16.5" customHeight="1">
      <c r="A566" s="1">
        <v>564</v>
      </c>
      <c r="B566" s="1" t="str">
        <f ca="1">IFERROR(__xludf.DUMMYFUNCTION("GOOGLETRANSLATE(B566, ""en"", ""ko"")"),"직업")</f>
        <v>직업</v>
      </c>
      <c r="C566" s="1">
        <v>11766</v>
      </c>
      <c r="D566" s="1">
        <v>6.5</v>
      </c>
      <c r="E566" s="1" t="str">
        <f ca="1">IFERROR(__xludf.DUMMYFUNCTION("GOOGLETRANSLATE(E566, ""en"", ""ko"")"),"트럭 운전, 트럭 적재 및 하역, 짐 묶기, 서기, 걷기 및 무거운 짐 운반")</f>
        <v>트럭 운전, 트럭 적재 및 하역, 짐 묶기, 서기, 걷기 및 무거운 짐 운반</v>
      </c>
      <c r="M566" s="1"/>
      <c r="O566" s="1"/>
    </row>
    <row r="567" spans="1:15" ht="16.5" customHeight="1">
      <c r="A567" s="1">
        <v>565</v>
      </c>
      <c r="B567" s="1" t="str">
        <f ca="1">IFERROR(__xludf.DUMMYFUNCTION("GOOGLETRANSLATE(B567, ""en"", ""ko"")"),"직업")</f>
        <v>직업</v>
      </c>
      <c r="C567" s="1">
        <v>11767</v>
      </c>
      <c r="D567" s="1">
        <v>2</v>
      </c>
      <c r="E567" s="1" t="str">
        <f ca="1">IFERROR(__xludf.DUMMYFUNCTION("GOOGLETRANSLATE(E567, ""en"", ""ko"")"),"트럭 운전, 배달 트럭, 택시, 셔틀버스, 스쿨버스")</f>
        <v>트럭 운전, 배달 트럭, 택시, 셔틀버스, 스쿨버스</v>
      </c>
      <c r="M567" s="1"/>
      <c r="O567" s="1"/>
    </row>
    <row r="568" spans="1:15" ht="16.5" customHeight="1">
      <c r="A568" s="1">
        <v>566</v>
      </c>
      <c r="B568" s="1" t="str">
        <f ca="1">IFERROR(__xludf.DUMMYFUNCTION("GOOGLETRANSLATE(B568, ""en"", ""ko"")"),"직업")</f>
        <v>직업</v>
      </c>
      <c r="C568" s="1">
        <v>11770</v>
      </c>
      <c r="D568" s="1">
        <v>1.3</v>
      </c>
      <c r="E568" s="1" t="str">
        <f ca="1">IFERROR(__xludf.DUMMYFUNCTION("GOOGLETRANSLATE(E568, ""en"", ""ko"")"),"타이핑, 전기, 수동 또는 컴퓨터")</f>
        <v>타이핑, 전기, 수동 또는 컴퓨터</v>
      </c>
      <c r="M568" s="1"/>
      <c r="O568" s="1"/>
    </row>
    <row r="569" spans="1:15" ht="16.5" customHeight="1">
      <c r="A569" s="1">
        <v>567</v>
      </c>
      <c r="B569" s="1" t="str">
        <f ca="1">IFERROR(__xludf.DUMMYFUNCTION("GOOGLETRANSLATE(B569, ""en"", ""ko"")"),"직업")</f>
        <v>직업</v>
      </c>
      <c r="C569" s="1">
        <v>11780</v>
      </c>
      <c r="D569" s="1">
        <v>6.3</v>
      </c>
      <c r="E569" s="1" t="str">
        <f ca="1">IFERROR(__xludf.DUMMYFUNCTION("GOOGLETRANSLATE(E569, ""en"", ""ko"")"),"공압 공구(예: 잭해머, 드릴 등)와 같은 무거운 전동 공구를 사용하는 경우")</f>
        <v>공압 공구(예: 잭해머, 드릴 등)와 같은 무거운 전동 공구를 사용하는 경우</v>
      </c>
      <c r="M569" s="1"/>
      <c r="O569" s="1"/>
    </row>
    <row r="570" spans="1:15" ht="16.5" customHeight="1">
      <c r="A570" s="1">
        <v>568</v>
      </c>
      <c r="B570" s="1" t="str">
        <f ca="1">IFERROR(__xludf.DUMMYFUNCTION("GOOGLETRANSLATE(B570, ""en"", ""ko"")"),"직업")</f>
        <v>직업</v>
      </c>
      <c r="C570" s="1">
        <v>11790</v>
      </c>
      <c r="D570" s="1">
        <v>7.8</v>
      </c>
      <c r="E570" s="1" t="str">
        <f ca="1">IFERROR(__xludf.DUMMYFUNCTION("GOOGLETRANSLATE(E570, ""en"", ""ko"")"),"삽, 곡괭이, 터널 막대, 삽과 같은 무거운 도구(동력이 아닌) 사용")</f>
        <v>삽, 곡괭이, 터널 막대, 삽과 같은 무거운 도구(동력이 아닌) 사용</v>
      </c>
      <c r="M570" s="1"/>
      <c r="O570" s="1"/>
    </row>
    <row r="571" spans="1:15" ht="16.5" customHeight="1">
      <c r="A571" s="1">
        <v>569</v>
      </c>
      <c r="B571" s="1" t="str">
        <f ca="1">IFERROR(__xludf.DUMMYFUNCTION("GOOGLETRANSLATE(B571, ""en"", ""ko"")"),"직업")</f>
        <v>직업</v>
      </c>
      <c r="C571" s="1">
        <v>11791</v>
      </c>
      <c r="D571" s="1">
        <v>2</v>
      </c>
      <c r="E571" s="1" t="str">
        <f ca="1">IFERROR(__xludf.DUMMYFUNCTION("GOOGLETRANSLATE(E571, ""en"", ""ko"")"),"직장에서 걷는 경우, 시속 2.0mile 미만, 매우 느린 속도, 사무실 또는 연구실 구역")</f>
        <v>직장에서 걷는 경우, 시속 2.0mile 미만, 매우 느린 속도, 사무실 또는 연구실 구역</v>
      </c>
      <c r="M571" s="1"/>
      <c r="O571" s="1"/>
    </row>
    <row r="572" spans="1:15" ht="16.5" customHeight="1">
      <c r="A572" s="1">
        <v>570</v>
      </c>
      <c r="B572" s="1" t="str">
        <f ca="1">IFERROR(__xludf.DUMMYFUNCTION("GOOGLETRANSLATE(B572, ""en"", ""ko"")"),"직업")</f>
        <v>직업</v>
      </c>
      <c r="C572" s="1">
        <v>11792</v>
      </c>
      <c r="D572" s="1">
        <v>3.8</v>
      </c>
      <c r="E572" s="1" t="str">
        <f ca="1">IFERROR(__xludf.DUMMYFUNCTION("GOOGLETRANSLATE(E572, ""en"", ""ko"")"),"직장에서 걷는 중, 시속 2.8~3.4mile, 사무실, 중간 속도, 아무것도 들고 있지 않음")</f>
        <v>직장에서 걷는 중, 시속 2.8~3.4mile, 사무실, 중간 속도, 아무것도 들고 있지 않음</v>
      </c>
      <c r="M572" s="1"/>
      <c r="O572" s="1"/>
    </row>
    <row r="573" spans="1:15" ht="16.5" customHeight="1">
      <c r="A573" s="1">
        <v>571</v>
      </c>
      <c r="B573" s="1" t="str">
        <f ca="1">IFERROR(__xludf.DUMMYFUNCTION("GOOGLETRANSLATE(B573, ""en"", ""ko"")"),"직업")</f>
        <v>직업</v>
      </c>
      <c r="C573" s="1">
        <v>11793</v>
      </c>
      <c r="D573" s="1">
        <v>4.8</v>
      </c>
      <c r="E573" s="1" t="str">
        <f ca="1">IFERROR(__xludf.DUMMYFUNCTION("GOOGLETRANSLATE(E573, ""en"", ""ko"")"),"직장에서 걷는 속도, 3.5~3.9mph, 사무실, 빠른 속도, 아무것도 들고 있지 않음")</f>
        <v>직장에서 걷는 속도, 3.5~3.9mph, 사무실, 빠른 속도, 아무것도 들고 있지 않음</v>
      </c>
      <c r="M573" s="1"/>
      <c r="O573" s="1"/>
    </row>
    <row r="574" spans="1:15" ht="16.5" customHeight="1">
      <c r="A574" s="1">
        <v>572</v>
      </c>
      <c r="B574" s="1" t="str">
        <f ca="1">IFERROR(__xludf.DUMMYFUNCTION("GOOGLETRANSLATE(B574, ""en"", ""ko"")"),"직업")</f>
        <v>직업</v>
      </c>
      <c r="C574" s="1">
        <v>11795</v>
      </c>
      <c r="D574" s="1">
        <v>3.5</v>
      </c>
      <c r="E574" s="1" t="str">
        <f ca="1">IFERROR(__xludf.DUMMYFUNCTION("GOOGLETRANSLATE(E574, ""en"", ""ko"")"),"직장에서 걷기, 시속 2.5mile, 느린 속도, 25poud 미만의 가벼운 물건 운반")</f>
        <v>직장에서 걷기, 시속 2.5mile, 느린 속도, 25poud 미만의 가벼운 물건 운반</v>
      </c>
      <c r="M574" s="1"/>
      <c r="O574" s="1"/>
    </row>
    <row r="575" spans="1:15" ht="16.5" customHeight="1">
      <c r="A575" s="1">
        <v>573</v>
      </c>
      <c r="B575" s="1" t="str">
        <f ca="1">IFERROR(__xludf.DUMMYFUNCTION("GOOGLETRANSLATE(B575, ""en"", ""ko"")"),"직업")</f>
        <v>직업</v>
      </c>
      <c r="C575" s="1">
        <v>11796</v>
      </c>
      <c r="D575" s="1">
        <v>3</v>
      </c>
      <c r="E575" s="1" t="str">
        <f ca="1">IFERROR(__xludf.DUMMYFUNCTION("GOOGLETRANSLATE(E575, ""en"", ""ko"")"),"산책, 직장에서 물건 모으기, 떠날 준비")</f>
        <v>산책, 직장에서 물건 모으기, 떠날 준비</v>
      </c>
      <c r="M575" s="1"/>
      <c r="O575" s="1"/>
    </row>
    <row r="576" spans="1:15" ht="16.5" customHeight="1">
      <c r="A576" s="1">
        <v>574</v>
      </c>
      <c r="B576" s="1" t="str">
        <f ca="1">IFERROR(__xludf.DUMMYFUNCTION("GOOGLETRANSLATE(B576, ""en"", ""ko"")"),"직업")</f>
        <v>직업</v>
      </c>
      <c r="C576" s="1">
        <v>11797</v>
      </c>
      <c r="D576" s="1">
        <v>3.8</v>
      </c>
      <c r="E576" s="1" t="str">
        <f ca="1">IFERROR(__xludf.DUMMYFUNCTION("GOOGLETRANSLATE(E576, ""en"", ""ko"")"),"걷기, 시속 2.5mile, 느린 속도, 25poud 이상의 무거운 물건 운반")</f>
        <v>걷기, 시속 2.5mile, 느린 속도, 25poud 이상의 무거운 물건 운반</v>
      </c>
      <c r="M576" s="1"/>
      <c r="O576" s="1"/>
    </row>
    <row r="577" spans="1:15" ht="16.5" customHeight="1">
      <c r="A577" s="1">
        <v>575</v>
      </c>
      <c r="B577" s="1" t="str">
        <f ca="1">IFERROR(__xludf.DUMMYFUNCTION("GOOGLETRANSLATE(B577, ""en"", ""ko"")"),"직업")</f>
        <v>직업</v>
      </c>
      <c r="C577" s="1">
        <v>11800</v>
      </c>
      <c r="D577" s="1">
        <v>4.5</v>
      </c>
      <c r="E577" s="1" t="str">
        <f ca="1">IFERROR(__xludf.DUMMYFUNCTION("GOOGLETRANSLATE(E577, ""en"", ""ko"")"),"걷기, 시속 3.0mile, 중간 강도, 25poud 미만의 가벼운 물건 운반")</f>
        <v>걷기, 시속 3.0mile, 중간 강도, 25poud 미만의 가벼운 물건 운반</v>
      </c>
      <c r="M577" s="1"/>
      <c r="O577" s="1"/>
    </row>
    <row r="578" spans="1:15" ht="16.5" customHeight="1">
      <c r="A578" s="1">
        <v>576</v>
      </c>
      <c r="B578" s="1" t="str">
        <f ca="1">IFERROR(__xludf.DUMMYFUNCTION("GOOGLETRANSLATE(B578, ""en"", ""ko"")"),"직업")</f>
        <v>직업</v>
      </c>
      <c r="C578" s="1">
        <v>11805</v>
      </c>
      <c r="D578" s="1">
        <v>3.8</v>
      </c>
      <c r="E578" s="1" t="str">
        <f ca="1">IFERROR(__xludf.DUMMYFUNCTION("GOOGLETRANSLATE(E578, ""en"", ""ko"")"),"걷기, 휠체어 밀기")</f>
        <v>걷기, 휠체어 밀기</v>
      </c>
      <c r="M578" s="1"/>
      <c r="O578" s="1"/>
    </row>
    <row r="579" spans="1:15" ht="16.5" customHeight="1">
      <c r="A579" s="1">
        <v>577</v>
      </c>
      <c r="B579" s="1" t="str">
        <f ca="1">IFERROR(__xludf.DUMMYFUNCTION("GOOGLETRANSLATE(B579, ""en"", ""ko"")"),"직업")</f>
        <v>직업</v>
      </c>
      <c r="C579" s="1">
        <v>11810</v>
      </c>
      <c r="D579" s="1">
        <v>4.5</v>
      </c>
      <c r="E579" s="1" t="str">
        <f ca="1">IFERROR(__xludf.DUMMYFUNCTION("GOOGLETRANSLATE(E579, ""en"", ""ko"")"),"걷기, 시속 3.5mile, 빠른 속도로, 25poud 미만의 물건을 들고")</f>
        <v>걷기, 시속 3.5mile, 빠른 속도로, 25poud 미만의 물건을 들고</v>
      </c>
      <c r="M579" s="1"/>
      <c r="O579" s="1"/>
    </row>
    <row r="580" spans="1:15" ht="16.5" customHeight="1">
      <c r="A580" s="1">
        <v>578</v>
      </c>
      <c r="B580" s="1" t="str">
        <f ca="1">IFERROR(__xludf.DUMMYFUNCTION("GOOGLETRANSLATE(B580, ""en"", ""ko"")"),"직업")</f>
        <v>직업</v>
      </c>
      <c r="C580" s="1">
        <v>11820</v>
      </c>
      <c r="D580" s="1">
        <v>4</v>
      </c>
      <c r="E580" s="1" t="str">
        <f ca="1">IFERROR(__xludf.DUMMYFUNCTION("GOOGLETRANSLATE(E580, ""en"", ""ko"")"),"걷거나 계단을 내려가거나 서서 약 25~49poud의 물건을 들고 있음")</f>
        <v>걷거나 계단을 내려가거나 서서 약 25~49poud의 물건을 들고 있음</v>
      </c>
      <c r="M580" s="1"/>
      <c r="O580" s="1"/>
    </row>
    <row r="581" spans="1:15" ht="16.5" customHeight="1">
      <c r="A581" s="1">
        <v>579</v>
      </c>
      <c r="B581" s="1" t="str">
        <f ca="1">IFERROR(__xludf.DUMMYFUNCTION("GOOGLETRANSLATE(B581, ""en"", ""ko"")"),"직업")</f>
        <v>직업</v>
      </c>
      <c r="C581" s="1">
        <v>11830</v>
      </c>
      <c r="D581" s="1">
        <v>5.5</v>
      </c>
      <c r="E581" s="1" t="str">
        <f ca="1">IFERROR(__xludf.DUMMYFUNCTION("GOOGLETRANSLATE(E581, ""en"", ""ko"")"),"걷거나 계단을 내려가거나 서서 약 50~74poud의 물건을 들고 있음")</f>
        <v>걷거나 계단을 내려가거나 서서 약 50~74poud의 물건을 들고 있음</v>
      </c>
      <c r="M581" s="1"/>
      <c r="O581" s="1"/>
    </row>
    <row r="582" spans="1:15" ht="16.5" customHeight="1">
      <c r="A582" s="1">
        <v>580</v>
      </c>
      <c r="B582" s="1" t="str">
        <f ca="1">IFERROR(__xludf.DUMMYFUNCTION("GOOGLETRANSLATE(B582, ""en"", ""ko"")"),"직업")</f>
        <v>직업</v>
      </c>
      <c r="C582" s="1">
        <v>11840</v>
      </c>
      <c r="D582" s="1">
        <v>7</v>
      </c>
      <c r="E582" s="1" t="str">
        <f ca="1">IFERROR(__xludf.DUMMYFUNCTION("GOOGLETRANSLATE(E582, ""en"", ""ko"")"),"걷거나 계단을 내려가거나 서서 약 75~99poud의 물건을 들고 있음")</f>
        <v>걷거나 계단을 내려가거나 서서 약 75~99poud의 물건을 들고 있음</v>
      </c>
      <c r="M582" s="1"/>
      <c r="O582" s="1"/>
    </row>
    <row r="583" spans="1:15" ht="16.5" customHeight="1">
      <c r="A583" s="1">
        <v>581</v>
      </c>
      <c r="B583" s="1" t="str">
        <f ca="1">IFERROR(__xludf.DUMMYFUNCTION("GOOGLETRANSLATE(B583, ""en"", ""ko"")"),"직업")</f>
        <v>직업</v>
      </c>
      <c r="C583" s="1">
        <v>11850</v>
      </c>
      <c r="D583" s="1">
        <v>7.3</v>
      </c>
      <c r="E583" s="1" t="str">
        <f ca="1">IFERROR(__xludf.DUMMYFUNCTION("GOOGLETRANSLATE(E583, ""en"", ""ko"")"),"걷거나 계단을 내려가거나 서서 약 100poud 이상의 물건을 들고 있는 경우")</f>
        <v>걷거나 계단을 내려가거나 서서 약 100poud 이상의 물건을 들고 있는 경우</v>
      </c>
      <c r="M583" s="1"/>
      <c r="O583" s="1"/>
    </row>
    <row r="584" spans="1:15" ht="16.5" customHeight="1">
      <c r="A584" s="1">
        <v>582</v>
      </c>
      <c r="B584" s="1" t="str">
        <f ca="1">IFERROR(__xludf.DUMMYFUNCTION("GOOGLETRANSLATE(B584, ""en"", ""ko"")"),"직업")</f>
        <v>직업</v>
      </c>
      <c r="C584" s="1">
        <v>11860</v>
      </c>
      <c r="D584" s="1">
        <v>2.2999999999999998</v>
      </c>
      <c r="E584" s="1" t="str">
        <f ca="1">IFERROR(__xludf.DUMMYFUNCTION("GOOGLETRANSLATE(E584, ""en"", ""ko"")"),"창고/배송 센터, 상자 적재/하역")</f>
        <v>창고/배송 센터, 상자 적재/하역</v>
      </c>
      <c r="M584" s="1"/>
      <c r="O584" s="1"/>
    </row>
    <row r="585" spans="1:15" ht="16.5" customHeight="1">
      <c r="A585" s="1">
        <v>583</v>
      </c>
      <c r="B585" s="1" t="str">
        <f ca="1">IFERROR(__xludf.DUMMYFUNCTION("GOOGLETRANSLATE(B585, ""en"", ""ko"")"),"직업")</f>
        <v>직업</v>
      </c>
      <c r="C585" s="1">
        <v>11862</v>
      </c>
      <c r="D585" s="1">
        <v>4.3</v>
      </c>
      <c r="E585" s="1" t="str">
        <f ca="1">IFERROR(__xludf.DUMMYFUNCTION("GOOGLETRANSLATE(E585, ""en"", ""ko"")"),"창고/배송 센터, 상자 이동(~5kg)")</f>
        <v>창고/배송 센터, 상자 이동(~5kg)</v>
      </c>
      <c r="M585" s="1"/>
      <c r="O585" s="1"/>
    </row>
    <row r="586" spans="1:15" ht="16.5" customHeight="1">
      <c r="A586" s="1">
        <v>584</v>
      </c>
      <c r="B586" s="1" t="str">
        <f ca="1">IFERROR(__xludf.DUMMYFUNCTION("GOOGLETRANSLATE(B586, ""en"", ""ko"")"),"직업")</f>
        <v>직업</v>
      </c>
      <c r="C586" s="1">
        <v>11870</v>
      </c>
      <c r="D586" s="1">
        <v>3</v>
      </c>
      <c r="E586" s="1" t="str">
        <f ca="1">IFERROR(__xludf.DUMMYFUNCTION("GOOGLETRANSLATE(E586, ""en"", ""ko"")"),"무대장치 작업실, 연극 배우, 무대 뒤 직원")</f>
        <v>무대장치 작업실, 연극 배우, 무대 뒤 직원</v>
      </c>
      <c r="M586" s="1"/>
      <c r="O586" s="1"/>
    </row>
    <row r="587" spans="1:15" ht="16.5" customHeight="1">
      <c r="A587" s="1">
        <v>585</v>
      </c>
      <c r="B587" s="1" t="str">
        <f ca="1">IFERROR(__xludf.DUMMYFUNCTION("GOOGLETRANSLATE(B587, ""en"", ""ko"")"),"직업")</f>
        <v>직업</v>
      </c>
      <c r="C587" s="1">
        <v>11880</v>
      </c>
      <c r="D587" s="1">
        <v>3.5</v>
      </c>
      <c r="E587" s="1" t="str">
        <f ca="1">IFERROR(__xludf.DUMMYFUNCTION("GOOGLETRANSLATE(E587, ""en"", ""ko"")"),"군인, 군사 행진, 탄약 없음 1.5-2.5 mph")</f>
        <v>군인, 군사 행진, 탄약 없음 1.5-2.5 mph</v>
      </c>
      <c r="M587" s="1"/>
      <c r="O587" s="1"/>
    </row>
    <row r="588" spans="1:15" ht="16.5" customHeight="1">
      <c r="A588" s="1">
        <v>586</v>
      </c>
      <c r="B588" s="1" t="str">
        <f ca="1">IFERROR(__xludf.DUMMYFUNCTION("GOOGLETRANSLATE(B588, ""en"", ""ko"")"),"직업")</f>
        <v>직업</v>
      </c>
      <c r="C588" s="1">
        <v>11882</v>
      </c>
      <c r="D588" s="1">
        <v>4</v>
      </c>
      <c r="E588" s="1" t="str">
        <f ca="1">IFERROR(__xludf.DUMMYFUNCTION("GOOGLETRANSLATE(E588, ""en"", ""ko"")"),"군인, 군사 행진, 시속 1.5~2.5mile, 10~30kg의 짐")</f>
        <v>군인, 군사 행진, 시속 1.5~2.5mile, 10~30kg의 짐</v>
      </c>
      <c r="M588" s="1"/>
      <c r="O588" s="1"/>
    </row>
    <row r="589" spans="1:15" ht="16.5" customHeight="1">
      <c r="A589" s="1">
        <v>587</v>
      </c>
      <c r="B589" s="1" t="str">
        <f ca="1">IFERROR(__xludf.DUMMYFUNCTION("GOOGLETRANSLATE(B589, ""en"", ""ko"")"),"직업")</f>
        <v>직업</v>
      </c>
      <c r="C589" s="1">
        <v>11884</v>
      </c>
      <c r="D589" s="1">
        <v>5</v>
      </c>
      <c r="E589" s="1" t="str">
        <f ca="1">IFERROR(__xludf.DUMMYFUNCTION("GOOGLETRANSLATE(E589, ""en"", ""ko"")"),"공중 셔플, 2.5~3.5mph, 20~30kg 하중")</f>
        <v>공중 셔플, 2.5~3.5mph, 20~30kg 하중</v>
      </c>
      <c r="M589" s="1"/>
      <c r="O589" s="1"/>
    </row>
    <row r="590" spans="1:15" ht="16.5" customHeight="1">
      <c r="A590" s="1">
        <v>588</v>
      </c>
      <c r="B590" s="1" t="str">
        <f ca="1">IFERROR(__xludf.DUMMYFUNCTION("GOOGLETRANSLATE(B590, ""en"", ""ko"")"),"직업")</f>
        <v>직업</v>
      </c>
      <c r="C590" s="1">
        <v>11886</v>
      </c>
      <c r="D590" s="1">
        <v>6.3</v>
      </c>
      <c r="E590" s="1" t="str">
        <f ca="1">IFERROR(__xludf.DUMMYFUNCTION("GOOGLETRANSLATE(E590, ""en"", ""ko"")"),"군인, 군용 짐을 싣고 행진, 다양한 지형, 25-40kg의 짐")</f>
        <v>군인, 군용 짐을 싣고 행진, 다양한 지형, 25-40kg의 짐</v>
      </c>
      <c r="M590" s="1"/>
      <c r="O590" s="1"/>
    </row>
    <row r="591" spans="1:15" ht="16.5" customHeight="1">
      <c r="A591" s="1">
        <v>589</v>
      </c>
      <c r="B591" s="1" t="str">
        <f ca="1">IFERROR(__xludf.DUMMYFUNCTION("GOOGLETRANSLATE(B591, ""en"", ""ko"")"),"직업")</f>
        <v>직업</v>
      </c>
      <c r="C591" s="1">
        <v>11887</v>
      </c>
      <c r="D591" s="1">
        <v>6</v>
      </c>
      <c r="E591" s="1" t="str">
        <f ca="1">IFERROR(__xludf.DUMMYFUNCTION("GOOGLETRANSLATE(E591, ""en"", ""ko"")"),"군인, 걷기, 시속 2.8mile, 경사도 5%, 최대 21.5kg 하중")</f>
        <v>군인, 걷기, 시속 2.8mile, 경사도 5%, 최대 21.5kg 하중</v>
      </c>
      <c r="M591" s="1"/>
      <c r="O591" s="1"/>
    </row>
    <row r="592" spans="1:15" ht="16.5" customHeight="1">
      <c r="A592" s="1">
        <v>590</v>
      </c>
      <c r="B592" s="1" t="str">
        <f ca="1">IFERROR(__xludf.DUMMYFUNCTION("GOOGLETRANSLATE(B592, ""en"", ""ko"")"),"직업")</f>
        <v>직업</v>
      </c>
      <c r="C592" s="1">
        <v>11888</v>
      </c>
      <c r="D592" s="1">
        <v>8.5</v>
      </c>
      <c r="E592" s="1" t="str">
        <f ca="1">IFERROR(__xludf.DUMMYFUNCTION("GOOGLETRANSLATE(E592, ""en"", ""ko"")"),"군인, 걷기, 시속 2.8mile, 경사도 10%, 최대 21.5kg 하중")</f>
        <v>군인, 걷기, 시속 2.8mile, 경사도 10%, 최대 21.5kg 하중</v>
      </c>
      <c r="M592" s="1"/>
      <c r="O592" s="1"/>
    </row>
    <row r="593" spans="1:15" ht="16.5" customHeight="1">
      <c r="A593" s="1">
        <v>591</v>
      </c>
      <c r="B593" s="1" t="str">
        <f ca="1">IFERROR(__xludf.DUMMYFUNCTION("GOOGLETRANSLATE(B593, ""en"", ""ko"")"),"직업")</f>
        <v>직업</v>
      </c>
      <c r="C593" s="1">
        <v>11889</v>
      </c>
      <c r="D593" s="1">
        <v>11</v>
      </c>
      <c r="E593" s="1" t="str">
        <f ca="1">IFERROR(__xludf.DUMMYFUNCTION("GOOGLETRANSLATE(E593, ""en"", ""ko"")"),"군인, 걷기, 시속 2.8mile, 경사도 15%, 최대 21.5kg 하중")</f>
        <v>군인, 걷기, 시속 2.8mile, 경사도 15%, 최대 21.5kg 하중</v>
      </c>
      <c r="M593" s="1"/>
      <c r="O593" s="1"/>
    </row>
    <row r="594" spans="1:15" ht="16.5" customHeight="1">
      <c r="A594" s="1">
        <v>592</v>
      </c>
      <c r="B594" s="1" t="str">
        <f ca="1">IFERROR(__xludf.DUMMYFUNCTION("GOOGLETRANSLATE(B594, ""en"", ""ko"")"),"직업")</f>
        <v>직업</v>
      </c>
      <c r="C594" s="1">
        <v>11892</v>
      </c>
      <c r="D594" s="1">
        <v>6</v>
      </c>
      <c r="E594" s="1" t="str">
        <f ca="1">IFERROR(__xludf.DUMMYFUNCTION("GOOGLETRANSLATE(E594, ""en"", ""ko"")"),"군사 활동, 동맥경화 준비, 방어진지 파기")</f>
        <v>군사 활동, 동맥경화 준비, 방어진지 파기</v>
      </c>
      <c r="M594" s="1"/>
      <c r="O594" s="1"/>
    </row>
    <row r="595" spans="1:15" ht="16.5" customHeight="1">
      <c r="A595" s="1">
        <v>593</v>
      </c>
      <c r="B595" s="1" t="str">
        <f ca="1">IFERROR(__xludf.DUMMYFUNCTION("GOOGLETRANSLATE(B595, ""en"", ""ko"")"),"달리기")</f>
        <v>달리기</v>
      </c>
      <c r="C595" s="1">
        <v>12010</v>
      </c>
      <c r="D595" s="1">
        <v>6</v>
      </c>
      <c r="E595" s="1" t="str">
        <f ca="1">IFERROR(__xludf.DUMMYFUNCTION("GOOGLETRANSLATE(E595, ""en"", ""ko"")"),"조깅/걷기 조합(10분 미만의 조깅 구성 요소)")</f>
        <v>조깅/걷기 조합(10분 미만의 조깅 구성 요소)</v>
      </c>
      <c r="M595" s="1"/>
      <c r="O595" s="1"/>
    </row>
    <row r="596" spans="1:15" ht="16.5" customHeight="1">
      <c r="A596" s="1">
        <v>594</v>
      </c>
      <c r="B596" s="1" t="str">
        <f ca="1">IFERROR(__xludf.DUMMYFUNCTION("GOOGLETRANSLATE(B596, ""en"", ""ko"")"),"달리기")</f>
        <v>달리기</v>
      </c>
      <c r="C596" s="1">
        <v>12020</v>
      </c>
      <c r="D596" s="1">
        <v>7.5</v>
      </c>
      <c r="E596" s="1" t="str">
        <f ca="1">IFERROR(__xludf.DUMMYFUNCTION("GOOGLETRANSLATE(E596, ""en"", ""ko"")"),"조깅, 일반, 자기선택 페이스")</f>
        <v>조깅, 일반, 자기선택 페이스</v>
      </c>
      <c r="M596" s="1"/>
      <c r="O596" s="1"/>
    </row>
    <row r="597" spans="1:15" ht="16.5" customHeight="1">
      <c r="A597" s="1">
        <v>595</v>
      </c>
      <c r="B597" s="1" t="str">
        <f ca="1">IFERROR(__xludf.DUMMYFUNCTION("GOOGLETRANSLATE(B597, ""en"", ""ko"")"),"달리기")</f>
        <v>달리기</v>
      </c>
      <c r="C597" s="1">
        <v>12025</v>
      </c>
      <c r="D597" s="1">
        <v>4.8</v>
      </c>
      <c r="E597" s="1" t="str">
        <f ca="1">IFERROR(__xludf.DUMMYFUNCTION("GOOGLETRANSLATE(E597, ""en"", ""ko"")"),"제자리 조깅")</f>
        <v>제자리 조깅</v>
      </c>
      <c r="M597" s="1"/>
      <c r="O597" s="1"/>
    </row>
    <row r="598" spans="1:15" ht="16.5" customHeight="1">
      <c r="A598" s="1">
        <v>596</v>
      </c>
      <c r="B598" s="1" t="str">
        <f ca="1">IFERROR(__xludf.DUMMYFUNCTION("GOOGLETRANSLATE(B598, ""en"", ""ko"")"),"달리기")</f>
        <v>달리기</v>
      </c>
      <c r="C598" s="1">
        <v>12026</v>
      </c>
      <c r="D598" s="1">
        <v>3.3</v>
      </c>
      <c r="E598" s="1" t="str">
        <f ca="1">IFERROR(__xludf.DUMMYFUNCTION("GOOGLETRANSLATE(E598, ""en"", ""ko"")"),"조깅 시속 2.6~3.7mile")</f>
        <v>조깅 시속 2.6~3.7mile</v>
      </c>
      <c r="M598" s="1"/>
      <c r="O598" s="1"/>
    </row>
    <row r="599" spans="1:15" ht="16.5" customHeight="1">
      <c r="A599" s="1">
        <v>597</v>
      </c>
      <c r="B599" s="1" t="str">
        <f ca="1">IFERROR(__xludf.DUMMYFUNCTION("GOOGLETRANSLATE(B599, ""en"", ""ko"")"),"달리기")</f>
        <v>달리기</v>
      </c>
      <c r="C599" s="1">
        <v>12027</v>
      </c>
      <c r="D599" s="1">
        <v>4.5</v>
      </c>
      <c r="E599" s="1" t="str">
        <f ca="1">IFERROR(__xludf.DUMMYFUNCTION("GOOGLETRANSLATE(E599, ""en"", ""ko"")"),"미니 트램프로 조깅하기")</f>
        <v>미니 트램프로 조깅하기</v>
      </c>
      <c r="M599" s="1"/>
      <c r="O599" s="1"/>
    </row>
    <row r="600" spans="1:15" ht="16.5" customHeight="1">
      <c r="A600" s="1">
        <v>598</v>
      </c>
      <c r="B600" s="1" t="str">
        <f ca="1">IFERROR(__xludf.DUMMYFUNCTION("GOOGLETRANSLATE(B600, ""en"", ""ko"")"),"달리기")</f>
        <v>달리기</v>
      </c>
      <c r="C600" s="1">
        <v>12028</v>
      </c>
      <c r="D600" s="1">
        <v>6.5</v>
      </c>
      <c r="E600" s="1" t="str">
        <f ca="1">IFERROR(__xludf.DUMMYFUNCTION("GOOGLETRANSLATE(E600, ""en"", ""ko"")"),"달리기, 시속 4~4.2mile(mile당 13분)")</f>
        <v>달리기, 시속 4~4.2mile(mile당 13분)</v>
      </c>
      <c r="M600" s="1"/>
      <c r="O600" s="1"/>
    </row>
    <row r="601" spans="1:15" ht="16.5" customHeight="1">
      <c r="A601" s="1">
        <v>599</v>
      </c>
      <c r="B601" s="1" t="str">
        <f ca="1">IFERROR(__xludf.DUMMYFUNCTION("GOOGLETRANSLATE(B601, ""en"", ""ko"")"),"달리기")</f>
        <v>달리기</v>
      </c>
      <c r="C601" s="1">
        <v>12029</v>
      </c>
      <c r="D601" s="1">
        <v>7.8</v>
      </c>
      <c r="E601" s="1" t="str">
        <f ca="1">IFERROR(__xludf.DUMMYFUNCTION("GOOGLETRANSLATE(E601, ""en"", ""ko"")"),"시속 4.3~4.8mile로 달리다")</f>
        <v>시속 4.3~4.8mile로 달리다</v>
      </c>
      <c r="M601" s="1"/>
      <c r="O601" s="1"/>
    </row>
    <row r="602" spans="1:15" ht="16.5" customHeight="1">
      <c r="A602" s="1">
        <v>600</v>
      </c>
      <c r="B602" s="1" t="str">
        <f ca="1">IFERROR(__xludf.DUMMYFUNCTION("GOOGLETRANSLATE(B602, ""en"", ""ko"")"),"달리기")</f>
        <v>달리기</v>
      </c>
      <c r="C602" s="1">
        <v>12030</v>
      </c>
      <c r="D602" s="1">
        <v>8.5</v>
      </c>
      <c r="E602" s="1" t="str">
        <f ca="1">IFERROR(__xludf.DUMMYFUNCTION("GOOGLETRANSLATE(E602, ""en"", ""ko"")"),"달리기, 시속 5.0~5.2mile(mile당 12분)")</f>
        <v>달리기, 시속 5.0~5.2mile(mile당 12분)</v>
      </c>
      <c r="M602" s="1"/>
      <c r="O602" s="1"/>
    </row>
    <row r="603" spans="1:15" ht="16.5" customHeight="1">
      <c r="A603" s="1">
        <v>601</v>
      </c>
      <c r="B603" s="1" t="str">
        <f ca="1">IFERROR(__xludf.DUMMYFUNCTION("GOOGLETRANSLATE(B603, ""en"", ""ko"")"),"달리기")</f>
        <v>달리기</v>
      </c>
      <c r="C603" s="1">
        <v>12045</v>
      </c>
      <c r="D603" s="1">
        <v>9</v>
      </c>
      <c r="E603" s="1" t="str">
        <f ca="1">IFERROR(__xludf.DUMMYFUNCTION("GOOGLETRANSLATE(E603, ""en"", ""ko"")"),"달리기, 5.5-5.8mph")</f>
        <v>달리기, 5.5-5.8mph</v>
      </c>
      <c r="M603" s="1"/>
      <c r="O603" s="1"/>
    </row>
    <row r="604" spans="1:15" ht="16.5" customHeight="1">
      <c r="A604" s="1">
        <v>602</v>
      </c>
      <c r="B604" s="1" t="str">
        <f ca="1">IFERROR(__xludf.DUMMYFUNCTION("GOOGLETRANSLATE(B604, ""en"", ""ko"")"),"달리기")</f>
        <v>달리기</v>
      </c>
      <c r="C604" s="1">
        <v>12050</v>
      </c>
      <c r="D604" s="1">
        <v>9.3000000000000007</v>
      </c>
      <c r="E604" s="1" t="str">
        <f ca="1">IFERROR(__xludf.DUMMYFUNCTION("GOOGLETRANSLATE(E604, ""en"", ""ko"")"),"달리기, 시속 6-6.3mile(mile당 10분)")</f>
        <v>달리기, 시속 6-6.3mile(mile당 10분)</v>
      </c>
      <c r="M604" s="1"/>
      <c r="O604" s="1"/>
    </row>
    <row r="605" spans="1:15" ht="16.5" customHeight="1">
      <c r="A605" s="1">
        <v>603</v>
      </c>
      <c r="B605" s="1" t="str">
        <f ca="1">IFERROR(__xludf.DUMMYFUNCTION("GOOGLETRANSLATE(B605, ""en"", ""ko"")"),"달리기")</f>
        <v>달리기</v>
      </c>
      <c r="C605" s="1">
        <v>12060</v>
      </c>
      <c r="D605" s="1">
        <v>10.5</v>
      </c>
      <c r="E605" s="1" t="str">
        <f ca="1">IFERROR(__xludf.DUMMYFUNCTION("GOOGLETRANSLATE(E605, ""en"", ""ko"")"),"달리기, 시속 6.7mile(mile당 9분)")</f>
        <v>달리기, 시속 6.7mile(mile당 9분)</v>
      </c>
      <c r="M605" s="1"/>
      <c r="O605" s="1"/>
    </row>
    <row r="606" spans="1:15" ht="16.5" customHeight="1">
      <c r="A606" s="1">
        <v>604</v>
      </c>
      <c r="B606" s="1" t="str">
        <f ca="1">IFERROR(__xludf.DUMMYFUNCTION("GOOGLETRANSLATE(B606, ""en"", ""ko"")"),"달리기")</f>
        <v>달리기</v>
      </c>
      <c r="C606" s="1">
        <v>12070</v>
      </c>
      <c r="D606" s="1">
        <v>11</v>
      </c>
      <c r="E606" s="1" t="str">
        <f ca="1">IFERROR(__xludf.DUMMYFUNCTION("GOOGLETRANSLATE(E606, ""en"", ""ko"")"),"달리기, 시속 7mile(mile당 8.5분)")</f>
        <v>달리기, 시속 7mile(mile당 8.5분)</v>
      </c>
      <c r="M606" s="1"/>
      <c r="O606" s="1"/>
    </row>
    <row r="607" spans="1:15" ht="16.5" customHeight="1">
      <c r="A607" s="1">
        <v>605</v>
      </c>
      <c r="B607" s="1" t="str">
        <f ca="1">IFERROR(__xludf.DUMMYFUNCTION("GOOGLETRANSLATE(B607, ""en"", ""ko"")"),"달리기")</f>
        <v>달리기</v>
      </c>
      <c r="C607" s="1">
        <v>12080</v>
      </c>
      <c r="D607" s="1">
        <v>11.8</v>
      </c>
      <c r="E607" s="1" t="str">
        <f ca="1">IFERROR(__xludf.DUMMYFUNCTION("GOOGLETRANSLATE(E607, ""en"", ""ko"")"),"달리기, 시속 7.5mile(mile당 8분)")</f>
        <v>달리기, 시속 7.5mile(mile당 8분)</v>
      </c>
      <c r="M607" s="1"/>
      <c r="O607" s="1"/>
    </row>
    <row r="608" spans="1:15" ht="16.5" customHeight="1">
      <c r="A608" s="1">
        <v>606</v>
      </c>
      <c r="B608" s="1" t="str">
        <f ca="1">IFERROR(__xludf.DUMMYFUNCTION("GOOGLETRANSLATE(B608, ""en"", ""ko"")"),"달리기")</f>
        <v>달리기</v>
      </c>
      <c r="C608" s="1">
        <v>12090</v>
      </c>
      <c r="D608" s="1">
        <v>12</v>
      </c>
      <c r="E608" s="1" t="str">
        <f ca="1">IFERROR(__xludf.DUMMYFUNCTION("GOOGLETRANSLATE(E608, ""en"", ""ko"")"),"달리기, 시속 8mile(mile당 7.5분)")</f>
        <v>달리기, 시속 8mile(mile당 7.5분)</v>
      </c>
      <c r="M608" s="1"/>
      <c r="O608" s="1"/>
    </row>
    <row r="609" spans="1:15" ht="16.5" customHeight="1">
      <c r="A609" s="1">
        <v>607</v>
      </c>
      <c r="B609" s="1" t="str">
        <f ca="1">IFERROR(__xludf.DUMMYFUNCTION("GOOGLETRANSLATE(B609, ""en"", ""ko"")"),"달리기")</f>
        <v>달리기</v>
      </c>
      <c r="C609" s="1">
        <v>12100</v>
      </c>
      <c r="D609" s="1">
        <v>12.5</v>
      </c>
      <c r="E609" s="1" t="str">
        <f ca="1">IFERROR(__xludf.DUMMYFUNCTION("GOOGLETRANSLATE(E609, ""en"", ""ko"")"),"달리기, 시속 8.6mile(mile당 7분)")</f>
        <v>달리기, 시속 8.6mile(mile당 7분)</v>
      </c>
      <c r="M609" s="1"/>
      <c r="O609" s="1"/>
    </row>
    <row r="610" spans="1:15" ht="16.5" customHeight="1">
      <c r="A610" s="1">
        <v>608</v>
      </c>
      <c r="B610" s="1" t="str">
        <f ca="1">IFERROR(__xludf.DUMMYFUNCTION("GOOGLETRANSLATE(B610, ""en"", ""ko"")"),"달리기")</f>
        <v>달리기</v>
      </c>
      <c r="C610" s="1">
        <v>12110</v>
      </c>
      <c r="D610" s="1">
        <v>13</v>
      </c>
      <c r="E610" s="1" t="str">
        <f ca="1">IFERROR(__xludf.DUMMYFUNCTION("GOOGLETRANSLATE(E610, ""en"", ""ko"")"),"달리기, 시속 9mile(mile당 6.5분)")</f>
        <v>달리기, 시속 9mile(mile당 6.5분)</v>
      </c>
      <c r="M610" s="1"/>
      <c r="O610" s="1"/>
    </row>
    <row r="611" spans="1:15" ht="16.5" customHeight="1">
      <c r="A611" s="1">
        <v>609</v>
      </c>
      <c r="B611" s="1" t="str">
        <f ca="1">IFERROR(__xludf.DUMMYFUNCTION("GOOGLETRANSLATE(B611, ""en"", ""ko"")"),"달리기")</f>
        <v>달리기</v>
      </c>
      <c r="C611" s="1">
        <v>12115</v>
      </c>
      <c r="D611" s="1">
        <v>14.8</v>
      </c>
      <c r="E611" s="1" t="str">
        <f ca="1">IFERROR(__xludf.DUMMYFUNCTION("GOOGLETRANSLATE(E611, ""en"", ""ko"")"),"달리기, 시속 9.3~9.6mile")</f>
        <v>달리기, 시속 9.3~9.6mile</v>
      </c>
      <c r="M611" s="1"/>
      <c r="O611" s="1"/>
    </row>
    <row r="612" spans="1:15" ht="16.5" customHeight="1">
      <c r="A612" s="1">
        <v>610</v>
      </c>
      <c r="B612" s="1" t="str">
        <f ca="1">IFERROR(__xludf.DUMMYFUNCTION("GOOGLETRANSLATE(B612, ""en"", ""ko"")"),"달리기")</f>
        <v>달리기</v>
      </c>
      <c r="C612" s="1">
        <v>12120</v>
      </c>
      <c r="D612" s="1">
        <v>14.8</v>
      </c>
      <c r="E612" s="1" t="str">
        <f ca="1">IFERROR(__xludf.DUMMYFUNCTION("GOOGLETRANSLATE(E612, ""en"", ""ko"")"),"달리기, 시속 10mile(mile당 6분)")</f>
        <v>달리기, 시속 10mile(mile당 6분)</v>
      </c>
      <c r="M612" s="1"/>
      <c r="O612" s="1"/>
    </row>
    <row r="613" spans="1:15" ht="16.5" customHeight="1">
      <c r="A613" s="1">
        <v>611</v>
      </c>
      <c r="B613" s="1" t="str">
        <f ca="1">IFERROR(__xludf.DUMMYFUNCTION("GOOGLETRANSLATE(B613, ""en"", ""ko"")"),"달리기")</f>
        <v>달리기</v>
      </c>
      <c r="C613" s="1">
        <v>12130</v>
      </c>
      <c r="D613" s="1">
        <v>16.8</v>
      </c>
      <c r="E613" s="1" t="str">
        <f ca="1">IFERROR(__xludf.DUMMYFUNCTION("GOOGLETRANSLATE(E613, ""en"", ""ko"")"),"달리기, 시속 11mile(mile당 5.5분)")</f>
        <v>달리기, 시속 11mile(mile당 5.5분)</v>
      </c>
      <c r="M613" s="1"/>
      <c r="O613" s="1"/>
    </row>
    <row r="614" spans="1:15" ht="16.5" customHeight="1">
      <c r="A614" s="1">
        <v>612</v>
      </c>
      <c r="B614" s="1" t="str">
        <f ca="1">IFERROR(__xludf.DUMMYFUNCTION("GOOGLETRANSLATE(B614, ""en"", ""ko"")"),"달리기")</f>
        <v>달리기</v>
      </c>
      <c r="C614" s="1">
        <v>12132</v>
      </c>
      <c r="D614" s="1">
        <v>18.5</v>
      </c>
      <c r="E614" s="1" t="str">
        <f ca="1">IFERROR(__xludf.DUMMYFUNCTION("GOOGLETRANSLATE(E614, ""en"", ""ko"")"),"달리기, 시속 12mile(mile당 5.0분)")</f>
        <v>달리기, 시속 12mile(mile당 5.0분)</v>
      </c>
      <c r="M614" s="1"/>
      <c r="O614" s="1"/>
    </row>
    <row r="615" spans="1:15" ht="16.5" customHeight="1">
      <c r="A615" s="1">
        <v>613</v>
      </c>
      <c r="B615" s="1" t="str">
        <f ca="1">IFERROR(__xludf.DUMMYFUNCTION("GOOGLETRANSLATE(B615, ""en"", ""ko"")"),"달리기")</f>
        <v>달리기</v>
      </c>
      <c r="C615" s="1">
        <v>12134</v>
      </c>
      <c r="D615" s="1">
        <v>19.8</v>
      </c>
      <c r="E615" s="1" t="str">
        <f ca="1">IFERROR(__xludf.DUMMYFUNCTION("GOOGLETRANSLATE(E615, ""en"", ""ko"")"),"달리기, 시속 13mile(mile당 4.6분)")</f>
        <v>달리기, 시속 13mile(mile당 4.6분)</v>
      </c>
      <c r="M615" s="1"/>
      <c r="O615" s="1"/>
    </row>
    <row r="616" spans="1:15" ht="16.5" customHeight="1">
      <c r="A616" s="1">
        <v>614</v>
      </c>
      <c r="B616" s="1" t="str">
        <f ca="1">IFERROR(__xludf.DUMMYFUNCTION("GOOGLETRANSLATE(B616, ""en"", ""ko"")"),"달리기")</f>
        <v>달리기</v>
      </c>
      <c r="C616" s="1">
        <v>12135</v>
      </c>
      <c r="D616" s="1">
        <v>23</v>
      </c>
      <c r="E616" s="1" t="str">
        <f ca="1">IFERROR(__xludf.DUMMYFUNCTION("GOOGLETRANSLATE(E616, ""en"", ""ko"")"),"달리기, 시속 14mile(mile당 4.3분)")</f>
        <v>달리기, 시속 14mile(mile당 4.3분)</v>
      </c>
      <c r="M616" s="1"/>
      <c r="O616" s="1"/>
    </row>
    <row r="617" spans="1:15" ht="16.5" customHeight="1">
      <c r="A617" s="1">
        <v>615</v>
      </c>
      <c r="B617" s="1" t="str">
        <f ca="1">IFERROR(__xludf.DUMMYFUNCTION("GOOGLETRANSLATE(B617, ""en"", ""ko"")"),"달리기")</f>
        <v>달리기</v>
      </c>
      <c r="C617" s="1">
        <v>12140</v>
      </c>
      <c r="D617" s="1">
        <v>9.3000000000000007</v>
      </c>
      <c r="E617" s="1" t="str">
        <f ca="1">IFERROR(__xludf.DUMMYFUNCTION("GOOGLETRANSLATE(E617, ""en"", ""ko"")"),"달리기, 크로스컨트리")</f>
        <v>달리기, 크로스컨트리</v>
      </c>
      <c r="M617" s="1"/>
      <c r="O617" s="1"/>
    </row>
    <row r="618" spans="1:15" ht="16.5" customHeight="1">
      <c r="A618" s="1">
        <v>616</v>
      </c>
      <c r="B618" s="1" t="str">
        <f ca="1">IFERROR(__xludf.DUMMYFUNCTION("GOOGLETRANSLATE(B618, ""en"", ""ko"")"),"달리기")</f>
        <v>달리기</v>
      </c>
      <c r="C618" s="1">
        <v>12145</v>
      </c>
      <c r="D618" s="1">
        <v>10.5</v>
      </c>
      <c r="E618" s="1" t="str">
        <f ca="1">IFERROR(__xludf.DUMMYFUNCTION("GOOGLETRANSLATE(E618, ""en"", ""ko"")"),"달리기, 스스로 선택한 속도")</f>
        <v>달리기, 스스로 선택한 속도</v>
      </c>
      <c r="M618" s="1"/>
      <c r="O618" s="1"/>
    </row>
    <row r="619" spans="1:15" ht="16.5" customHeight="1">
      <c r="A619" s="1">
        <v>617</v>
      </c>
      <c r="B619" s="1" t="str">
        <f ca="1">IFERROR(__xludf.DUMMYFUNCTION("GOOGLETRANSLATE(B619, ""en"", ""ko"")"),"달리기")</f>
        <v>달리기</v>
      </c>
      <c r="C619" s="1">
        <v>12150</v>
      </c>
      <c r="D619" s="1">
        <v>8</v>
      </c>
      <c r="E619" s="1" t="str">
        <f ca="1">IFERROR(__xludf.DUMMYFUNCTION("GOOGLETRANSLATE(E619, ""en"", ""ko"")"),"달리기)")</f>
        <v>달리기)</v>
      </c>
      <c r="M619" s="1"/>
      <c r="O619" s="1"/>
    </row>
    <row r="620" spans="1:15" ht="16.5" customHeight="1">
      <c r="A620" s="1">
        <v>618</v>
      </c>
      <c r="B620" s="1" t="str">
        <f ca="1">IFERROR(__xludf.DUMMYFUNCTION("GOOGLETRANSLATE(B620, ""en"", ""ko"")"),"달리기")</f>
        <v>달리기</v>
      </c>
      <c r="C620" s="1">
        <v>12170</v>
      </c>
      <c r="D620" s="1">
        <v>15</v>
      </c>
      <c r="E620" s="1" t="str">
        <f ca="1">IFERROR(__xludf.DUMMYFUNCTION("GOOGLETRANSLATE(E620, ""en"", ""ko"")"),"달리기, 계단, 위로")</f>
        <v>달리기, 계단, 위로</v>
      </c>
      <c r="M620" s="1"/>
      <c r="O620" s="1"/>
    </row>
    <row r="621" spans="1:15" ht="16.5" customHeight="1">
      <c r="A621" s="1">
        <v>619</v>
      </c>
      <c r="B621" s="1" t="str">
        <f ca="1">IFERROR(__xludf.DUMMYFUNCTION("GOOGLETRANSLATE(B621, ""en"", ""ko"")"),"달리기")</f>
        <v>달리기</v>
      </c>
      <c r="C621" s="1">
        <v>12180</v>
      </c>
      <c r="D621" s="1">
        <v>10</v>
      </c>
      <c r="E621" s="1" t="str">
        <f ca="1">IFERROR(__xludf.DUMMYFUNCTION("GOOGLETRANSLATE(E621, ""en"", ""ko"")"),"달리기, 트랙에서, 팀 연습")</f>
        <v>달리기, 트랙에서, 팀 연습</v>
      </c>
      <c r="M621" s="1"/>
      <c r="O621" s="1"/>
    </row>
    <row r="622" spans="1:15" ht="16.5" customHeight="1">
      <c r="A622" s="1">
        <v>620</v>
      </c>
      <c r="B622" s="1" t="str">
        <f ca="1">IFERROR(__xludf.DUMMYFUNCTION("GOOGLETRANSLATE(B622, ""en"", ""ko"")"),"달리기")</f>
        <v>달리기</v>
      </c>
      <c r="C622" s="1">
        <v>12184</v>
      </c>
      <c r="D622" s="1">
        <v>18</v>
      </c>
      <c r="E622" s="1" t="str">
        <f ca="1">IFERROR(__xludf.DUMMYFUNCTION("GOOGLETRANSLATE(E622, ""en"", ""ko"")"),"달리기, 트랙, 500-1500m, 경쟁")</f>
        <v>달리기, 트랙, 500-1500m, 경쟁</v>
      </c>
      <c r="M622" s="1"/>
      <c r="O622" s="1"/>
    </row>
    <row r="623" spans="1:15" ht="16.5" customHeight="1">
      <c r="A623" s="1">
        <v>621</v>
      </c>
      <c r="B623" s="1" t="str">
        <f ca="1">IFERROR(__xludf.DUMMYFUNCTION("GOOGLETRANSLATE(B623, ""en"", ""ko"")"),"달리기")</f>
        <v>달리기</v>
      </c>
      <c r="C623" s="1">
        <v>12186</v>
      </c>
      <c r="D623" s="1">
        <v>19.3</v>
      </c>
      <c r="E623" s="1" t="str">
        <f ca="1">IFERROR(__xludf.DUMMYFUNCTION("GOOGLETRANSLATE(E623, ""en"", ""ko"")"),"달리기, 트랙, 2000-3000m, 경쟁")</f>
        <v>달리기, 트랙, 2000-3000m, 경쟁</v>
      </c>
      <c r="M623" s="1"/>
      <c r="O623" s="1"/>
    </row>
    <row r="624" spans="1:15" ht="16.5" customHeight="1">
      <c r="A624" s="1">
        <v>622</v>
      </c>
      <c r="B624" s="1" t="str">
        <f ca="1">IFERROR(__xludf.DUMMYFUNCTION("GOOGLETRANSLATE(B624, ""en"", ""ko"")"),"달리기")</f>
        <v>달리기</v>
      </c>
      <c r="C624" s="1">
        <v>12190</v>
      </c>
      <c r="D624" s="1">
        <v>8</v>
      </c>
      <c r="E624" s="1" t="str">
        <f ca="1">IFERROR(__xludf.DUMMYFUNCTION("GOOGLETRANSLATE(E624, ""en"", ""ko"")"),"달리기, 훈련, 휠체어 또는 아기 운반대 밀기")</f>
        <v>달리기, 훈련, 휠체어 또는 아기 운반대 밀기</v>
      </c>
      <c r="M624" s="1"/>
      <c r="O624" s="1"/>
    </row>
    <row r="625" spans="1:15" ht="16.5" customHeight="1">
      <c r="A625" s="1">
        <v>623</v>
      </c>
      <c r="B625" s="1" t="str">
        <f ca="1">IFERROR(__xludf.DUMMYFUNCTION("GOOGLETRANSLATE(B625, ""en"", ""ko"")"),"달리기")</f>
        <v>달리기</v>
      </c>
      <c r="C625" s="1">
        <v>12200</v>
      </c>
      <c r="D625" s="1">
        <v>13.3</v>
      </c>
      <c r="E625" s="1" t="str">
        <f ca="1">IFERROR(__xludf.DUMMYFUNCTION("GOOGLETRANSLATE(E625, ""en"", ""ko"")"),"달리기, 마라톤")</f>
        <v>달리기, 마라톤</v>
      </c>
      <c r="M625" s="1"/>
      <c r="O625" s="1"/>
    </row>
    <row r="626" spans="1:15" ht="16.5" customHeight="1">
      <c r="A626" s="1">
        <v>624</v>
      </c>
      <c r="B626" s="1" t="str">
        <f ca="1">IFERROR(__xludf.DUMMYFUNCTION("GOOGLETRANSLATE(B626, ""en"", ""ko"")"),"달리기")</f>
        <v>달리기</v>
      </c>
      <c r="C626" s="1">
        <v>12255</v>
      </c>
      <c r="D626" s="1">
        <v>10.3</v>
      </c>
      <c r="E626" s="1" t="str">
        <f ca="1">IFERROR(__xludf.DUMMYFUNCTION("GOOGLETRANSLATE(E626, ""en"", ""ko"")"),"오르막길 달리기, 시속 4.5mile, 경사도 5%")</f>
        <v>오르막길 달리기, 시속 4.5mile, 경사도 5%</v>
      </c>
      <c r="M626" s="1"/>
      <c r="O626" s="1"/>
    </row>
    <row r="627" spans="1:15" ht="16.5" customHeight="1">
      <c r="A627" s="1">
        <v>625</v>
      </c>
      <c r="B627" s="1" t="str">
        <f ca="1">IFERROR(__xludf.DUMMYFUNCTION("GOOGLETRANSLATE(B627, ""en"", ""ko"")"),"달리기")</f>
        <v>달리기</v>
      </c>
      <c r="C627" s="1">
        <v>12260</v>
      </c>
      <c r="D627" s="1">
        <v>13.3</v>
      </c>
      <c r="E627" s="1" t="str">
        <f ca="1">IFERROR(__xludf.DUMMYFUNCTION("GOOGLETRANSLATE(E627, ""en"", ""ko"")"),"오르막길 주행, 시속 6.0mile, 경사도 5%")</f>
        <v>오르막길 주행, 시속 6.0mile, 경사도 5%</v>
      </c>
      <c r="M627" s="1"/>
      <c r="O627" s="1"/>
    </row>
    <row r="628" spans="1:15" ht="16.5" customHeight="1">
      <c r="A628" s="1">
        <v>626</v>
      </c>
      <c r="B628" s="1" t="str">
        <f ca="1">IFERROR(__xludf.DUMMYFUNCTION("GOOGLETRANSLATE(B628, ""en"", ""ko"")"),"달리기")</f>
        <v>달리기</v>
      </c>
      <c r="C628" s="1">
        <v>12265</v>
      </c>
      <c r="D628" s="1">
        <v>15.5</v>
      </c>
      <c r="E628" s="1" t="str">
        <f ca="1">IFERROR(__xludf.DUMMYFUNCTION("GOOGLETRANSLATE(E628, ""en"", ""ko"")"),"오르막길 주행, 시속 7.0mile, 경사도 5%")</f>
        <v>오르막길 주행, 시속 7.0mile, 경사도 5%</v>
      </c>
      <c r="M628" s="1"/>
      <c r="O628" s="1"/>
    </row>
    <row r="629" spans="1:15" ht="16.5" customHeight="1">
      <c r="A629" s="1">
        <v>627</v>
      </c>
      <c r="B629" s="1" t="str">
        <f ca="1">IFERROR(__xludf.DUMMYFUNCTION("GOOGLETRANSLATE(B629, ""en"", ""ko"")"),"달리기")</f>
        <v>달리기</v>
      </c>
      <c r="C629" s="1">
        <v>12325</v>
      </c>
      <c r="D629" s="1">
        <v>17.5</v>
      </c>
      <c r="E629" s="1" t="str">
        <f ca="1">IFERROR(__xludf.DUMMYFUNCTION("GOOGLETRANSLATE(E629, ""en"", ""ko"")"),"오르막길 주행, 시속 5.0~5.9mile, 경사도 15%")</f>
        <v>오르막길 주행, 시속 5.0~5.9mile, 경사도 15%</v>
      </c>
      <c r="M629" s="1"/>
      <c r="O629" s="1"/>
    </row>
    <row r="630" spans="1:15" ht="16.5" customHeight="1">
      <c r="A630" s="1">
        <v>628</v>
      </c>
      <c r="B630" s="1" t="str">
        <f ca="1">IFERROR(__xludf.DUMMYFUNCTION("GOOGLETRANSLATE(B630, ""en"", ""ko"")"),"달리기")</f>
        <v>달리기</v>
      </c>
      <c r="C630" s="1">
        <v>12335</v>
      </c>
      <c r="D630" s="1">
        <v>8.8000000000000007</v>
      </c>
      <c r="E630" s="1" t="str">
        <f ca="1">IFERROR(__xludf.DUMMYFUNCTION("GOOGLETRANSLATE(E630, ""en"", ""ko"")"),"오르막길 주행, 시속 0.6~0.79mile, 경사도 30%")</f>
        <v>오르막길 주행, 시속 0.6~0.79mile, 경사도 30%</v>
      </c>
      <c r="M630" s="1"/>
      <c r="O630" s="1"/>
    </row>
    <row r="631" spans="1:15" ht="16.5" customHeight="1">
      <c r="A631" s="1">
        <v>629</v>
      </c>
      <c r="B631" s="1" t="str">
        <f ca="1">IFERROR(__xludf.DUMMYFUNCTION("GOOGLETRANSLATE(B631, ""en"", ""ko"")"),"달리기")</f>
        <v>달리기</v>
      </c>
      <c r="C631" s="1">
        <v>12337</v>
      </c>
      <c r="D631" s="1">
        <v>10.3</v>
      </c>
      <c r="E631" s="1" t="str">
        <f ca="1">IFERROR(__xludf.DUMMYFUNCTION("GOOGLETRANSLATE(E631, ""en"", ""ko"")"),"오르막길 주행, 시속 0.8~0.99mile, 경사도 30%")</f>
        <v>오르막길 주행, 시속 0.8~0.99mile, 경사도 30%</v>
      </c>
      <c r="M631" s="1"/>
      <c r="O631" s="1"/>
    </row>
    <row r="632" spans="1:15" ht="16.5" customHeight="1">
      <c r="A632" s="1">
        <v>630</v>
      </c>
      <c r="B632" s="1" t="str">
        <f ca="1">IFERROR(__xludf.DUMMYFUNCTION("GOOGLETRANSLATE(B632, ""en"", ""ko"")"),"달리기")</f>
        <v>달리기</v>
      </c>
      <c r="C632" s="1">
        <v>12339</v>
      </c>
      <c r="D632" s="1">
        <v>11.8</v>
      </c>
      <c r="E632" s="1" t="str">
        <f ca="1">IFERROR(__xludf.DUMMYFUNCTION("GOOGLETRANSLATE(E632, ""en"", ""ko"")"),"오르막길 주행, 시속 1.0~1.19mile, 경사도 30%")</f>
        <v>오르막길 주행, 시속 1.0~1.19mile, 경사도 30%</v>
      </c>
      <c r="M632" s="1"/>
      <c r="O632" s="1"/>
    </row>
    <row r="633" spans="1:15" ht="16.5" customHeight="1">
      <c r="A633" s="1">
        <v>631</v>
      </c>
      <c r="B633" s="1" t="str">
        <f ca="1">IFERROR(__xludf.DUMMYFUNCTION("GOOGLETRANSLATE(B633, ""en"", ""ko"")"),"달리기")</f>
        <v>달리기</v>
      </c>
      <c r="C633" s="1">
        <v>12341</v>
      </c>
      <c r="D633" s="1">
        <v>13.5</v>
      </c>
      <c r="E633" s="1" t="str">
        <f ca="1">IFERROR(__xludf.DUMMYFUNCTION("GOOGLETRANSLATE(E633, ""en"", ""ko"")"),"오르막길 주행, 시속 1.2~1.39mile, 경사도 30~40%")</f>
        <v>오르막길 주행, 시속 1.2~1.39mile, 경사도 30~40%</v>
      </c>
      <c r="M633" s="1"/>
      <c r="O633" s="1"/>
    </row>
    <row r="634" spans="1:15" ht="16.5" customHeight="1">
      <c r="A634" s="1">
        <v>632</v>
      </c>
      <c r="B634" s="1" t="str">
        <f ca="1">IFERROR(__xludf.DUMMYFUNCTION("GOOGLETRANSLATE(B634, ""en"", ""ko"")"),"달리기")</f>
        <v>달리기</v>
      </c>
      <c r="C634" s="1">
        <v>12343</v>
      </c>
      <c r="D634" s="1">
        <v>14.8</v>
      </c>
      <c r="E634" s="1" t="str">
        <f ca="1">IFERROR(__xludf.DUMMYFUNCTION("GOOGLETRANSLATE(E634, ""en"", ""ko"")"),"오르막길 주행, 시속 1.4~1.59mile, 경사도 30%")</f>
        <v>오르막길 주행, 시속 1.4~1.59mile, 경사도 30%</v>
      </c>
      <c r="M634" s="1"/>
      <c r="O634" s="1"/>
    </row>
    <row r="635" spans="1:15" ht="16.5" customHeight="1">
      <c r="A635" s="1">
        <v>633</v>
      </c>
      <c r="B635" s="1" t="str">
        <f ca="1">IFERROR(__xludf.DUMMYFUNCTION("GOOGLETRANSLATE(B635, ""en"", ""ko"")"),"달리기")</f>
        <v>달리기</v>
      </c>
      <c r="C635" s="1">
        <v>12345</v>
      </c>
      <c r="D635" s="1">
        <v>16.3</v>
      </c>
      <c r="E635" s="1" t="str">
        <f ca="1">IFERROR(__xludf.DUMMYFUNCTION("GOOGLETRANSLATE(E635, ""en"", ""ko"")"),"오르막길 달리기, &gt;1.6mph, 10-30% 경사")</f>
        <v>오르막길 달리기, &gt;1.6mph, 10-30% 경사</v>
      </c>
      <c r="M635" s="1"/>
      <c r="O635" s="1"/>
    </row>
    <row r="636" spans="1:15" ht="16.5" customHeight="1">
      <c r="A636" s="1">
        <v>634</v>
      </c>
      <c r="B636" s="1" t="str">
        <f ca="1">IFERROR(__xludf.DUMMYFUNCTION("GOOGLETRANSLATE(B636, ""en"", ""ko"")"),"달리기")</f>
        <v>달리기</v>
      </c>
      <c r="C636" s="1">
        <v>12350</v>
      </c>
      <c r="D636" s="1">
        <v>16</v>
      </c>
      <c r="E636" s="1" t="str">
        <f ca="1">IFERROR(__xludf.DUMMYFUNCTION("GOOGLETRANSLATE(E636, ""en"", ""ko"")"),"달리기, 구릉지형, 고도변화 ±100m")</f>
        <v>달리기, 구릉지형, 고도변화 ±100m</v>
      </c>
      <c r="M636" s="1"/>
      <c r="O636" s="1"/>
    </row>
    <row r="637" spans="1:15" ht="16.5" customHeight="1">
      <c r="A637" s="1">
        <v>635</v>
      </c>
      <c r="B637" s="1" t="str">
        <f ca="1">IFERROR(__xludf.DUMMYFUNCTION("GOOGLETRANSLATE(B637, ""en"", ""ko"")"),"달리기")</f>
        <v>달리기</v>
      </c>
      <c r="C637" s="1">
        <v>12352</v>
      </c>
      <c r="D637" s="1">
        <v>5.8</v>
      </c>
      <c r="E637" s="1" t="str">
        <f ca="1">IFERROR(__xludf.DUMMYFUNCTION("GOOGLETRANSLATE(E637, ""en"", ""ko"")"),"내리막길 주행, 5.0~5.9mph, -10%~-15%")</f>
        <v>내리막길 주행, 5.0~5.9mph, -10%~-15%</v>
      </c>
      <c r="M637" s="1"/>
      <c r="O637" s="1"/>
    </row>
    <row r="638" spans="1:15" ht="16.5" customHeight="1">
      <c r="A638" s="1">
        <v>636</v>
      </c>
      <c r="B638" s="1" t="str">
        <f ca="1">IFERROR(__xludf.DUMMYFUNCTION("GOOGLETRANSLATE(B638, ""en"", ""ko"")"),"달리기")</f>
        <v>달리기</v>
      </c>
      <c r="C638" s="1">
        <v>12353</v>
      </c>
      <c r="D638" s="1">
        <v>7.5</v>
      </c>
      <c r="E638" s="1" t="str">
        <f ca="1">IFERROR(__xludf.DUMMYFUNCTION("GOOGLETRANSLATE(E638, ""en"", ""ko"")"),"내리막길 주행, 시속 6.0~6.9mile, -10%~-15%")</f>
        <v>내리막길 주행, 시속 6.0~6.9mile, -10%~-15%</v>
      </c>
      <c r="M638" s="1"/>
      <c r="O638" s="1"/>
    </row>
    <row r="639" spans="1:15" ht="16.5" customHeight="1">
      <c r="A639" s="1">
        <v>637</v>
      </c>
      <c r="B639" s="1" t="str">
        <f ca="1">IFERROR(__xludf.DUMMYFUNCTION("GOOGLETRANSLATE(B639, ""en"", ""ko"")"),"달리기")</f>
        <v>달리기</v>
      </c>
      <c r="C639" s="1">
        <v>12355</v>
      </c>
      <c r="D639" s="1">
        <v>9</v>
      </c>
      <c r="E639" s="1" t="str">
        <f ca="1">IFERROR(__xludf.DUMMYFUNCTION("GOOGLETRANSLATE(E639, ""en"", ""ko"")"),"내리막길 주행, 시속 7.0~8.9mile, -10%~-15%")</f>
        <v>내리막길 주행, 시속 7.0~8.9mile, -10%~-15%</v>
      </c>
      <c r="M639" s="1"/>
      <c r="O639" s="1"/>
    </row>
    <row r="640" spans="1:15" ht="16.5" customHeight="1">
      <c r="A640" s="1">
        <v>638</v>
      </c>
      <c r="B640" s="1" t="str">
        <f ca="1">IFERROR(__xludf.DUMMYFUNCTION("GOOGLETRANSLATE(B640, ""en"", ""ko"")"),"달리기")</f>
        <v>달리기</v>
      </c>
      <c r="C640" s="1">
        <v>12358</v>
      </c>
      <c r="D640" s="1">
        <v>9.3000000000000007</v>
      </c>
      <c r="E640" s="1" t="str">
        <f ca="1">IFERROR(__xludf.DUMMYFUNCTION("GOOGLETRANSLATE(E640, ""en"", ""ko"")"),"내리막길 주행, 시속 6.0~7.9mile, -3%~-9%")</f>
        <v>내리막길 주행, 시속 6.0~7.9mile, -3%~-9%</v>
      </c>
      <c r="M640" s="1"/>
      <c r="O640" s="1"/>
    </row>
    <row r="641" spans="1:15" ht="16.5" customHeight="1">
      <c r="A641" s="1">
        <v>639</v>
      </c>
      <c r="B641" s="1" t="str">
        <f ca="1">IFERROR(__xludf.DUMMYFUNCTION("GOOGLETRANSLATE(B641, ""en"", ""ko"")"),"달리기")</f>
        <v>달리기</v>
      </c>
      <c r="C641" s="1">
        <v>12361</v>
      </c>
      <c r="D641" s="1">
        <v>13.8</v>
      </c>
      <c r="E641" s="1" t="str">
        <f ca="1">IFERROR(__xludf.DUMMYFUNCTION("GOOGLETRANSLATE(E641, ""en"", ""ko"")"),"내리막길 주행, 시속 8.0~10.5mile, -3%~-9%")</f>
        <v>내리막길 주행, 시속 8.0~10.5mile, -3%~-9%</v>
      </c>
      <c r="M641" s="1"/>
      <c r="O641" s="1"/>
    </row>
    <row r="642" spans="1:15" ht="16.5" customHeight="1">
      <c r="A642" s="1">
        <v>640</v>
      </c>
      <c r="B642" s="1" t="str">
        <f ca="1">IFERROR(__xludf.DUMMYFUNCTION("GOOGLETRANSLATE(B642, ""en"", ""ko"")"),"달리기")</f>
        <v>달리기</v>
      </c>
      <c r="C642" s="1">
        <v>12405</v>
      </c>
      <c r="D642" s="1">
        <v>5.3</v>
      </c>
      <c r="E642" s="1" t="str">
        <f ca="1">IFERROR(__xludf.DUMMYFUNCTION("GOOGLETRANSLATE(E642, ""en"", ""ko"")"),"달리기/조깅, 곡선 러닝머신, 3.0~3.9mph")</f>
        <v>달리기/조깅, 곡선 러닝머신, 3.0~3.9mph</v>
      </c>
      <c r="M642" s="1"/>
      <c r="O642" s="1"/>
    </row>
    <row r="643" spans="1:15" ht="16.5" customHeight="1">
      <c r="A643" s="1">
        <v>641</v>
      </c>
      <c r="B643" s="1" t="str">
        <f ca="1">IFERROR(__xludf.DUMMYFUNCTION("GOOGLETRANSLATE(B643, ""en"", ""ko"")"),"달리기")</f>
        <v>달리기</v>
      </c>
      <c r="C643" s="1">
        <v>12408</v>
      </c>
      <c r="D643" s="1">
        <v>6.5</v>
      </c>
      <c r="E643" s="1" t="str">
        <f ca="1">IFERROR(__xludf.DUMMYFUNCTION("GOOGLETRANSLATE(E643, ""en"", ""ko"")"),"달리기/조깅, 곡선 러닝머신, 시속 4.0~4.9mile")</f>
        <v>달리기/조깅, 곡선 러닝머신, 시속 4.0~4.9mile</v>
      </c>
      <c r="M643" s="1"/>
      <c r="O643" s="1"/>
    </row>
    <row r="644" spans="1:15" ht="16.5" customHeight="1">
      <c r="A644" s="1">
        <v>642</v>
      </c>
      <c r="B644" s="1" t="str">
        <f ca="1">IFERROR(__xludf.DUMMYFUNCTION("GOOGLETRANSLATE(B644, ""en"", ""ko"")"),"달리기")</f>
        <v>달리기</v>
      </c>
      <c r="C644" s="1">
        <v>12410</v>
      </c>
      <c r="D644" s="1">
        <v>11</v>
      </c>
      <c r="E644" s="1" t="str">
        <f ca="1">IFERROR(__xludf.DUMMYFUNCTION("GOOGLETRANSLATE(E644, ""en"", ""ko"")"),"곡선 러닝머신, 시속 5.0~5.9mile")</f>
        <v>곡선 러닝머신, 시속 5.0~5.9mile</v>
      </c>
      <c r="M644" s="1"/>
      <c r="O644" s="1"/>
    </row>
    <row r="645" spans="1:15" ht="16.5" customHeight="1">
      <c r="A645" s="1">
        <v>643</v>
      </c>
      <c r="B645" s="1" t="str">
        <f ca="1">IFERROR(__xludf.DUMMYFUNCTION("GOOGLETRANSLATE(B645, ""en"", ""ko"")"),"달리기")</f>
        <v>달리기</v>
      </c>
      <c r="C645" s="1">
        <v>12412</v>
      </c>
      <c r="D645" s="1">
        <v>12</v>
      </c>
      <c r="E645" s="1" t="str">
        <f ca="1">IFERROR(__xludf.DUMMYFUNCTION("GOOGLETRANSLATE(E645, ""en"", ""ko"")"),"곡선 러닝머신, 시속 7.0~7.9mile")</f>
        <v>곡선 러닝머신, 시속 7.0~7.9mile</v>
      </c>
      <c r="M645" s="1"/>
      <c r="O645" s="1"/>
    </row>
    <row r="646" spans="1:15" ht="16.5" customHeight="1">
      <c r="A646" s="1">
        <v>644</v>
      </c>
      <c r="B646" s="1" t="str">
        <f ca="1">IFERROR(__xludf.DUMMYFUNCTION("GOOGLETRANSLATE(B646, ""en"", ""ko"")"),"달리기")</f>
        <v>달리기</v>
      </c>
      <c r="C646" s="1">
        <v>12414</v>
      </c>
      <c r="D646" s="1">
        <v>14</v>
      </c>
      <c r="E646" s="1" t="str">
        <f ca="1">IFERROR(__xludf.DUMMYFUNCTION("GOOGLETRANSLATE(E646, ""en"", ""ko"")"),"곡선 러닝머신, 시속 8.0~8.9mile")</f>
        <v>곡선 러닝머신, 시속 8.0~8.9mile</v>
      </c>
      <c r="M646" s="1"/>
      <c r="O646" s="1"/>
    </row>
    <row r="647" spans="1:15" ht="16.5" customHeight="1">
      <c r="A647" s="1">
        <v>645</v>
      </c>
      <c r="B647" s="1" t="str">
        <f ca="1">IFERROR(__xludf.DUMMYFUNCTION("GOOGLETRANSLATE(B647, ""en"", ""ko"")"),"달리기")</f>
        <v>달리기</v>
      </c>
      <c r="C647" s="1">
        <v>12416</v>
      </c>
      <c r="D647" s="1">
        <v>16.8</v>
      </c>
      <c r="E647" s="1" t="str">
        <f ca="1">IFERROR(__xludf.DUMMYFUNCTION("GOOGLETRANSLATE(E647, ""en"", ""ko"")"),"곡선 러닝머신, 시속 9.0~9.9mile")</f>
        <v>곡선 러닝머신, 시속 9.0~9.9mile</v>
      </c>
      <c r="M647" s="1"/>
      <c r="O647" s="1"/>
    </row>
    <row r="648" spans="1:15" ht="16.5" customHeight="1">
      <c r="A648" s="1">
        <v>646</v>
      </c>
      <c r="B648" s="1" t="str">
        <f ca="1">IFERROR(__xludf.DUMMYFUNCTION("GOOGLETRANSLATE(B648, ""en"", ""ko"")"),"달리기")</f>
        <v>달리기</v>
      </c>
      <c r="C648" s="1">
        <v>12508</v>
      </c>
      <c r="D648" s="1">
        <v>8.5</v>
      </c>
      <c r="E648" s="1" t="str">
        <f ca="1">IFERROR(__xludf.DUMMYFUNCTION("GOOGLETRANSLATE(E648, ""en"", ""ko"")"),"달리기, 시속 5.0~5.9mile, 1.0~3.0kg 백팩")</f>
        <v>달리기, 시속 5.0~5.9mile, 1.0~3.0kg 백팩</v>
      </c>
      <c r="M648" s="1"/>
      <c r="O648" s="1"/>
    </row>
    <row r="649" spans="1:15" ht="16.5" customHeight="1">
      <c r="A649" s="1">
        <v>647</v>
      </c>
      <c r="B649" s="1" t="str">
        <f ca="1">IFERROR(__xludf.DUMMYFUNCTION("GOOGLETRANSLATE(B649, ""en"", ""ko"")"),"달리기")</f>
        <v>달리기</v>
      </c>
      <c r="C649" s="1">
        <v>12510</v>
      </c>
      <c r="D649" s="1">
        <v>9.5</v>
      </c>
      <c r="E649" s="1" t="str">
        <f ca="1">IFERROR(__xludf.DUMMYFUNCTION("GOOGLETRANSLATE(E649, ""en"", ""ko"")"),"달리기, 시속 6.0~6.9mile, 1.0~3.0kg 백팩")</f>
        <v>달리기, 시속 6.0~6.9mile, 1.0~3.0kg 백팩</v>
      </c>
      <c r="M649" s="1"/>
      <c r="O649" s="1"/>
    </row>
    <row r="650" spans="1:15" ht="16.5" customHeight="1">
      <c r="A650" s="1">
        <v>648</v>
      </c>
      <c r="B650" s="1" t="str">
        <f ca="1">IFERROR(__xludf.DUMMYFUNCTION("GOOGLETRANSLATE(B650, ""en"", ""ko"")"),"달리기")</f>
        <v>달리기</v>
      </c>
      <c r="C650" s="1">
        <v>12512</v>
      </c>
      <c r="D650" s="1">
        <v>9.8000000000000007</v>
      </c>
      <c r="E650" s="1" t="str">
        <f ca="1">IFERROR(__xludf.DUMMYFUNCTION("GOOGLETRANSLATE(E650, ""en"", ""ko"")"),"달리기, 시속 7.0~7.9mile, 1.0~3.0kg 백팩")</f>
        <v>달리기, 시속 7.0~7.9mile, 1.0~3.0kg 백팩</v>
      </c>
      <c r="M650" s="1"/>
      <c r="O650" s="1"/>
    </row>
    <row r="651" spans="1:15" ht="16.5" customHeight="1">
      <c r="A651" s="1">
        <v>649</v>
      </c>
      <c r="B651" s="1" t="str">
        <f ca="1">IFERROR(__xludf.DUMMYFUNCTION("GOOGLETRANSLATE(B651, ""en"", ""ko"")"),"달리기")</f>
        <v>달리기</v>
      </c>
      <c r="C651" s="1">
        <v>12514</v>
      </c>
      <c r="D651" s="1">
        <v>12</v>
      </c>
      <c r="E651" s="1" t="str">
        <f ca="1">IFERROR(__xludf.DUMMYFUNCTION("GOOGLETRANSLATE(E651, ""en"", ""ko"")"),"달리기, 시속 8.0~8.9mile, 1.0~3.0kg 백팩")</f>
        <v>달리기, 시속 8.0~8.9mile, 1.0~3.0kg 백팩</v>
      </c>
      <c r="M651" s="1"/>
      <c r="O651" s="1"/>
    </row>
    <row r="652" spans="1:15" ht="16.5" customHeight="1">
      <c r="A652" s="1">
        <v>650</v>
      </c>
      <c r="B652" s="1" t="str">
        <f ca="1">IFERROR(__xludf.DUMMYFUNCTION("GOOGLETRANSLATE(B652, ""en"", ""ko"")"),"달리기")</f>
        <v>달리기</v>
      </c>
      <c r="C652" s="1">
        <v>12555</v>
      </c>
      <c r="D652" s="1">
        <v>7.8</v>
      </c>
      <c r="E652" s="1" t="str">
        <f ca="1">IFERROR(__xludf.DUMMYFUNCTION("GOOGLETRANSLATE(E652, ""en"", ""ko"")"),"달리기, 맨발, 시속 3.5-5.9mile")</f>
        <v>달리기, 맨발, 시속 3.5-5.9mile</v>
      </c>
      <c r="M652" s="1"/>
      <c r="O652" s="1"/>
    </row>
    <row r="653" spans="1:15" ht="16.5" customHeight="1">
      <c r="A653" s="1">
        <v>651</v>
      </c>
      <c r="B653" s="1" t="str">
        <f ca="1">IFERROR(__xludf.DUMMYFUNCTION("GOOGLETRANSLATE(B653, ""en"", ""ko"")"),"달리기")</f>
        <v>달리기</v>
      </c>
      <c r="C653" s="1">
        <v>12560</v>
      </c>
      <c r="D653" s="1">
        <v>12</v>
      </c>
      <c r="E653" s="1" t="str">
        <f ca="1">IFERROR(__xludf.DUMMYFUNCTION("GOOGLETRANSLATE(E653, ""en"", ""ko"")"),"달리기, 맨발, 시속 6.0-7.9mile")</f>
        <v>달리기, 맨발, 시속 6.0-7.9mile</v>
      </c>
      <c r="M653" s="1"/>
      <c r="O653" s="1"/>
    </row>
    <row r="654" spans="1:15" ht="16.5" customHeight="1">
      <c r="A654" s="1">
        <v>652</v>
      </c>
      <c r="B654" s="1" t="str">
        <f ca="1">IFERROR(__xludf.DUMMYFUNCTION("GOOGLETRANSLATE(B654, ""en"", ""ko"")"),"달리기")</f>
        <v>달리기</v>
      </c>
      <c r="C654" s="1">
        <v>12565</v>
      </c>
      <c r="D654" s="1">
        <v>13.5</v>
      </c>
      <c r="E654" s="1" t="str">
        <f ca="1">IFERROR(__xludf.DUMMYFUNCTION("GOOGLETRANSLATE(E654, ""en"", ""ko"")"),"달리기, 맨발, 시속 8.0-8.9mile")</f>
        <v>달리기, 맨발, 시속 8.0-8.9mile</v>
      </c>
      <c r="M654" s="1"/>
      <c r="O654" s="1"/>
    </row>
    <row r="655" spans="1:15" ht="16.5" customHeight="1">
      <c r="A655" s="1">
        <v>653</v>
      </c>
      <c r="B655" s="1" t="str">
        <f ca="1">IFERROR(__xludf.DUMMYFUNCTION("GOOGLETRANSLATE(B655, ""en"", ""ko"")"),"달리기")</f>
        <v>달리기</v>
      </c>
      <c r="C655" s="1">
        <v>12585</v>
      </c>
      <c r="D655" s="1">
        <v>8</v>
      </c>
      <c r="E655" s="1" t="str">
        <f ca="1">IFERROR(__xludf.DUMMYFUNCTION("GOOGLETRANSLATE(E655, ""en"", ""ko"")"),"달리기, 조깅 유모차, 실내, 시속 5mile")</f>
        <v>달리기, 조깅 유모차, 실내, 시속 5mile</v>
      </c>
      <c r="M655" s="1"/>
      <c r="O655" s="1"/>
    </row>
    <row r="656" spans="1:15" ht="16.5" customHeight="1">
      <c r="A656" s="1">
        <v>654</v>
      </c>
      <c r="B656" s="1" t="str">
        <f ca="1">IFERROR(__xludf.DUMMYFUNCTION("GOOGLETRANSLATE(B656, ""en"", ""ko"")"),"달리기")</f>
        <v>달리기</v>
      </c>
      <c r="C656" s="1">
        <v>12588</v>
      </c>
      <c r="D656" s="1">
        <v>9</v>
      </c>
      <c r="E656" s="1" t="str">
        <f ca="1">IFERROR(__xludf.DUMMYFUNCTION("GOOGLETRANSLATE(E656, ""en"", ""ko"")"),"달리기, 조깅 유모차, 실내, 시속 6mile")</f>
        <v>달리기, 조깅 유모차, 실내, 시속 6mile</v>
      </c>
      <c r="M656" s="1"/>
      <c r="O656" s="1"/>
    </row>
    <row r="657" spans="1:15" ht="16.5" customHeight="1">
      <c r="A657" s="1">
        <v>655</v>
      </c>
      <c r="B657" s="1" t="str">
        <f ca="1">IFERROR(__xludf.DUMMYFUNCTION("GOOGLETRANSLATE(B657, ""en"", ""ko"")"),"달리기")</f>
        <v>달리기</v>
      </c>
      <c r="C657" s="1">
        <v>12593</v>
      </c>
      <c r="D657" s="1">
        <v>10</v>
      </c>
      <c r="E657" s="1" t="str">
        <f ca="1">IFERROR(__xludf.DUMMYFUNCTION("GOOGLETRANSLATE(E657, ""en"", ""ko"")"),"달리기, 조깅 유모차, 야외, 시속 5mile")</f>
        <v>달리기, 조깅 유모차, 야외, 시속 5mile</v>
      </c>
      <c r="M657" s="1"/>
      <c r="O657" s="1"/>
    </row>
    <row r="658" spans="1:15" ht="16.5" customHeight="1">
      <c r="A658" s="1">
        <v>656</v>
      </c>
      <c r="B658" s="1" t="str">
        <f ca="1">IFERROR(__xludf.DUMMYFUNCTION("GOOGLETRANSLATE(B658, ""en"", ""ko"")"),"달리기")</f>
        <v>달리기</v>
      </c>
      <c r="C658" s="1">
        <v>12595</v>
      </c>
      <c r="D658" s="1">
        <v>11.5</v>
      </c>
      <c r="E658" s="1" t="str">
        <f ca="1">IFERROR(__xludf.DUMMYFUNCTION("GOOGLETRANSLATE(E658, ""en"", ""ko"")"),"달리기, 조깅 유모차, 야외, 시속 6mile")</f>
        <v>달리기, 조깅 유모차, 야외, 시속 6mile</v>
      </c>
      <c r="M658" s="1"/>
      <c r="O658" s="1"/>
    </row>
    <row r="659" spans="1:15" ht="16.5" customHeight="1">
      <c r="A659" s="1">
        <v>657</v>
      </c>
      <c r="B659" s="1" t="str">
        <f ca="1">IFERROR(__xludf.DUMMYFUNCTION("GOOGLETRANSLATE(B659, ""en"", ""ko"")"),"달리기")</f>
        <v>달리기</v>
      </c>
      <c r="C659" s="1">
        <v>12600</v>
      </c>
      <c r="D659" s="1">
        <v>11.5</v>
      </c>
      <c r="E659" s="1" t="str">
        <f ca="1">IFERROR(__xludf.DUMMYFUNCTION("GOOGLETRANSLATE(E659, ""en"", ""ko"")"),"스킵핑, 5.5-6.0 mph")</f>
        <v>스킵핑, 5.5-6.0 mph</v>
      </c>
      <c r="M659" s="1"/>
      <c r="O659" s="1"/>
    </row>
    <row r="660" spans="1:15" ht="16.5" customHeight="1">
      <c r="A660" s="1">
        <v>658</v>
      </c>
      <c r="B660" s="1" t="str">
        <f ca="1">IFERROR(__xludf.DUMMYFUNCTION("GOOGLETRANSLATE(B660, ""en"", ""ko"")"),"달리기")</f>
        <v>달리기</v>
      </c>
      <c r="C660" s="1">
        <v>12620</v>
      </c>
      <c r="D660" s="1">
        <v>13</v>
      </c>
      <c r="E660" s="1" t="str">
        <f ca="1">IFERROR(__xludf.DUMMYFUNCTION("GOOGLETRANSLATE(E660, ""en"", ""ko"")"),"트라이애슬론, 달리기")</f>
        <v>트라이애슬론, 달리기</v>
      </c>
      <c r="M660" s="1"/>
      <c r="O660" s="1"/>
    </row>
    <row r="661" spans="1:15" ht="16.5" customHeight="1">
      <c r="A661" s="1">
        <v>659</v>
      </c>
      <c r="B661" s="1" t="str">
        <f ca="1">IFERROR(__xludf.DUMMYFUNCTION("GOOGLETRANSLATE(B661, ""en"", ""ko"")"),"자가 관리")</f>
        <v>자가 관리</v>
      </c>
      <c r="C661" s="1">
        <v>13000</v>
      </c>
      <c r="D661" s="1">
        <v>2.2999999999999998</v>
      </c>
      <c r="E661" s="1" t="str">
        <f ca="1">IFERROR(__xludf.DUMMYFUNCTION("GOOGLETRANSLATE(E661, ""en"", ""ko"")"),"잠자리에 들 준비, 일반, 서기")</f>
        <v>잠자리에 들 준비, 일반, 서기</v>
      </c>
      <c r="M661" s="1"/>
      <c r="O661" s="1"/>
    </row>
    <row r="662" spans="1:15" ht="16.5" customHeight="1">
      <c r="A662" s="1">
        <v>660</v>
      </c>
      <c r="B662" s="1" t="str">
        <f ca="1">IFERROR(__xludf.DUMMYFUNCTION("GOOGLETRANSLATE(B662, ""en"", ""ko"")"),"자가 관리")</f>
        <v>자가 관리</v>
      </c>
      <c r="C662" s="1">
        <v>13009</v>
      </c>
      <c r="D662" s="1">
        <v>2.2999999999999998</v>
      </c>
      <c r="E662" s="1" t="str">
        <f ca="1">IFERROR(__xludf.DUMMYFUNCTION("GOOGLETRANSLATE(E662, ""en"", ""ko"")"),"변기에 앉아서 배변하기, 서서 배변하기, 쪼그리고 앉아서 배변하기")</f>
        <v>변기에 앉아서 배변하기, 서서 배변하기, 쪼그리고 앉아서 배변하기</v>
      </c>
      <c r="M662" s="1"/>
      <c r="O662" s="1"/>
    </row>
    <row r="663" spans="1:15" ht="16.5" customHeight="1">
      <c r="A663" s="1">
        <v>661</v>
      </c>
      <c r="B663" s="1" t="str">
        <f ca="1">IFERROR(__xludf.DUMMYFUNCTION("GOOGLETRANSLATE(B663, ""en"", ""ko"")"),"자가 관리")</f>
        <v>자가 관리</v>
      </c>
      <c r="C663" s="1">
        <v>13010</v>
      </c>
      <c r="D663" s="1">
        <v>1.5</v>
      </c>
      <c r="E663" s="1" t="str">
        <f ca="1">IFERROR(__xludf.DUMMYFUNCTION("GOOGLETRANSLATE(E663, ""en"", ""ko"")"),"목욕, 앉아")</f>
        <v>목욕, 앉아</v>
      </c>
      <c r="M663" s="1"/>
      <c r="O663" s="1"/>
    </row>
    <row r="664" spans="1:15" ht="16.5" customHeight="1">
      <c r="A664" s="1">
        <v>662</v>
      </c>
      <c r="B664" s="1" t="str">
        <f ca="1">IFERROR(__xludf.DUMMYFUNCTION("GOOGLETRANSLATE(B664, ""en"", ""ko"")"),"자가 관리")</f>
        <v>자가 관리</v>
      </c>
      <c r="C664" s="1">
        <v>13020</v>
      </c>
      <c r="D664" s="1">
        <v>2.8</v>
      </c>
      <c r="E664" s="1" t="str">
        <f ca="1">IFERROR(__xludf.DUMMYFUNCTION("GOOGLETRANSLATE(E664, ""en"", ""ko"")"),"옷 입기, 옷 벗기, 서기 또는 앉기")</f>
        <v>옷 입기, 옷 벗기, 서기 또는 앉기</v>
      </c>
      <c r="M664" s="1"/>
      <c r="O664" s="1"/>
    </row>
    <row r="665" spans="1:15" ht="16.5" customHeight="1">
      <c r="A665" s="1">
        <v>663</v>
      </c>
      <c r="B665" s="1" t="str">
        <f ca="1">IFERROR(__xludf.DUMMYFUNCTION("GOOGLETRANSLATE(B665, ""en"", ""ko"")"),"자가 관리")</f>
        <v>자가 관리</v>
      </c>
      <c r="C665" s="1">
        <v>13030</v>
      </c>
      <c r="D665" s="1">
        <v>1.5</v>
      </c>
      <c r="E665" s="1" t="str">
        <f ca="1">IFERROR(__xludf.DUMMYFUNCTION("GOOGLETRANSLATE(E665, ""en"", ""ko"")"),"먹고, 앉아")</f>
        <v>먹고, 앉아</v>
      </c>
      <c r="M665" s="1"/>
      <c r="O665" s="1"/>
    </row>
    <row r="666" spans="1:15" ht="16.5" customHeight="1">
      <c r="A666" s="1">
        <v>664</v>
      </c>
      <c r="B666" s="1" t="str">
        <f ca="1">IFERROR(__xludf.DUMMYFUNCTION("GOOGLETRANSLATE(B666, ""en"", ""ko"")"),"자가 관리")</f>
        <v>자가 관리</v>
      </c>
      <c r="C666" s="1">
        <v>13035</v>
      </c>
      <c r="D666" s="1">
        <v>2</v>
      </c>
      <c r="E666" s="1" t="str">
        <f ca="1">IFERROR(__xludf.DUMMYFUNCTION("GOOGLETRANSLATE(E666, ""en"", ""ko"")"),"이야기하며 먹거나, 서서만 먹거나")</f>
        <v>이야기하며 먹거나, 서서만 먹거나</v>
      </c>
      <c r="M666" s="1"/>
      <c r="O666" s="1"/>
    </row>
    <row r="667" spans="1:15" ht="16.5" customHeight="1">
      <c r="A667" s="1">
        <v>665</v>
      </c>
      <c r="B667" s="1" t="str">
        <f ca="1">IFERROR(__xludf.DUMMYFUNCTION("GOOGLETRANSLATE(B667, ""en"", ""ko"")"),"자가 관리")</f>
        <v>자가 관리</v>
      </c>
      <c r="C667" s="1">
        <v>13036</v>
      </c>
      <c r="D667" s="1">
        <v>1.5</v>
      </c>
      <c r="E667" s="1" t="str">
        <f ca="1">IFERROR(__xludf.DUMMYFUNCTION("GOOGLETRANSLATE(E667, ""en"", ""ko"")"),"약을 복용할 때, 앉아 있거나 서 있을 때")</f>
        <v>약을 복용할 때, 앉아 있거나 서 있을 때</v>
      </c>
      <c r="M667" s="1"/>
      <c r="O667" s="1"/>
    </row>
    <row r="668" spans="1:15" ht="16.5" customHeight="1">
      <c r="A668" s="1">
        <v>666</v>
      </c>
      <c r="B668" s="1" t="str">
        <f ca="1">IFERROR(__xludf.DUMMYFUNCTION("GOOGLETRANSLATE(B668, ""en"", ""ko"")"),"자가 관리")</f>
        <v>자가 관리</v>
      </c>
      <c r="C668" s="1">
        <v>13040</v>
      </c>
      <c r="D668" s="1">
        <v>2</v>
      </c>
      <c r="E668" s="1" t="str">
        <f ca="1">IFERROR(__xludf.DUMMYFUNCTION("GOOGLETRANSLATE(E668, ""en"", ""ko"")"),"몸단장, 손 씻기, 면도, 양치질, 화장, 앉기 또는 서기")</f>
        <v>몸단장, 손 씻기, 면도, 양치질, 화장, 앉기 또는 서기</v>
      </c>
      <c r="M668" s="1"/>
      <c r="O668" s="1"/>
    </row>
    <row r="669" spans="1:15" ht="16.5" customHeight="1">
      <c r="A669" s="1">
        <v>667</v>
      </c>
      <c r="B669" s="1" t="str">
        <f ca="1">IFERROR(__xludf.DUMMYFUNCTION("GOOGLETRANSLATE(B669, ""en"", ""ko"")"),"자가 관리")</f>
        <v>자가 관리</v>
      </c>
      <c r="C669" s="1">
        <v>13045</v>
      </c>
      <c r="D669" s="1">
        <v>2.5</v>
      </c>
      <c r="E669" s="1" t="str">
        <f ca="1">IFERROR(__xludf.DUMMYFUNCTION("GOOGLETRANSLATE(E669, ""en"", ""ko"")"),"헤어스타일링, 스탠딩")</f>
        <v>헤어스타일링, 스탠딩</v>
      </c>
      <c r="M669" s="1"/>
      <c r="O669" s="1"/>
    </row>
    <row r="670" spans="1:15" ht="16.5" customHeight="1">
      <c r="A670" s="1">
        <v>668</v>
      </c>
      <c r="B670" s="1" t="str">
        <f ca="1">IFERROR(__xludf.DUMMYFUNCTION("GOOGLETRANSLATE(B670, ""en"", ""ko"")"),"자가 관리")</f>
        <v>자가 관리</v>
      </c>
      <c r="C670" s="1">
        <v>13046</v>
      </c>
      <c r="D670" s="1">
        <v>1.3</v>
      </c>
      <c r="E670" s="1" t="str">
        <f ca="1">IFERROR(__xludf.DUMMYFUNCTION("GOOGLETRANSLATE(E670, ""en"", ""ko"")"),"다른 사람이 앉아서 머리나 손톱을 다듬어 주는 것")</f>
        <v>다른 사람이 앉아서 머리나 손톱을 다듬어 주는 것</v>
      </c>
      <c r="M670" s="1"/>
      <c r="O670" s="1"/>
    </row>
    <row r="671" spans="1:15" ht="16.5" customHeight="1">
      <c r="A671" s="1">
        <v>669</v>
      </c>
      <c r="B671" s="1" t="str">
        <f ca="1">IFERROR(__xludf.DUMMYFUNCTION("GOOGLETRANSLATE(B671, ""en"", ""ko"")"),"자가 관리")</f>
        <v>자가 관리</v>
      </c>
      <c r="C671" s="1">
        <v>13050</v>
      </c>
      <c r="D671" s="1">
        <v>2</v>
      </c>
      <c r="E671" s="1" t="str">
        <f ca="1">IFERROR(__xludf.DUMMYFUNCTION("GOOGLETRANSLATE(E671, ""en"", ""ko"")"),"샤워, 타월로 닦기, 서기")</f>
        <v>샤워, 타월로 닦기, 서기</v>
      </c>
      <c r="M671" s="1"/>
      <c r="O671" s="1"/>
    </row>
    <row r="672" spans="1:15" ht="16.5" customHeight="1">
      <c r="A672" s="1">
        <v>670</v>
      </c>
      <c r="B672" s="1" t="str">
        <f ca="1">IFERROR(__xludf.DUMMYFUNCTION("GOOGLETRANSLATE(B672, ""en"", ""ko"")"),"성적 활동")</f>
        <v>성적 활동</v>
      </c>
      <c r="C672" s="1">
        <v>14010</v>
      </c>
      <c r="D672" s="1">
        <v>5.8</v>
      </c>
      <c r="E672" s="1" t="str">
        <f ca="1">IFERROR(__xludf.DUMMYFUNCTION("GOOGLETRANSLATE(E672, ""en"", ""ko"")"),"적극적이고 활발한 노력")</f>
        <v>적극적이고 활발한 노력</v>
      </c>
      <c r="M672" s="1"/>
      <c r="O672" s="1"/>
    </row>
    <row r="673" spans="1:15" ht="16.5" customHeight="1">
      <c r="A673" s="1">
        <v>671</v>
      </c>
      <c r="B673" s="1" t="str">
        <f ca="1">IFERROR(__xludf.DUMMYFUNCTION("GOOGLETRANSLATE(B673, ""en"", ""ko"")"),"성적 활동")</f>
        <v>성적 활동</v>
      </c>
      <c r="C673" s="1">
        <v>14020</v>
      </c>
      <c r="D673" s="1">
        <v>3</v>
      </c>
      <c r="E673" s="1" t="str">
        <f ca="1">IFERROR(__xludf.DUMMYFUNCTION("GOOGLETRANSLATE(E673, ""en"", ""ko"")"),"일반, 중간 노력")</f>
        <v>일반, 중간 노력</v>
      </c>
      <c r="M673" s="1"/>
      <c r="O673" s="1"/>
    </row>
    <row r="674" spans="1:15" ht="16.5" customHeight="1">
      <c r="A674" s="1">
        <v>672</v>
      </c>
      <c r="B674" s="1" t="str">
        <f ca="1">IFERROR(__xludf.DUMMYFUNCTION("GOOGLETRANSLATE(B674, ""en"", ""ko"")"),"성적 활동")</f>
        <v>성적 활동</v>
      </c>
      <c r="C674" s="1">
        <v>14030</v>
      </c>
      <c r="D674" s="1">
        <v>1.8</v>
      </c>
      <c r="E674" s="1" t="str">
        <f ca="1">IFERROR(__xludf.DUMMYFUNCTION("GOOGLETRANSLATE(E674, ""en"", ""ko"")"),"수동적, 가벼운 노력, 키스, 포옹")</f>
        <v>수동적, 가벼운 노력, 키스, 포옹</v>
      </c>
      <c r="M674" s="1"/>
      <c r="O674" s="1"/>
    </row>
    <row r="675" spans="1:15" ht="16.5" customHeight="1">
      <c r="A675" s="1">
        <v>673</v>
      </c>
      <c r="B675" s="1" t="str">
        <f ca="1">IFERROR(__xludf.DUMMYFUNCTION("GOOGLETRANSLATE(B675, ""en"", ""ko"")"),"스포츠")</f>
        <v>스포츠</v>
      </c>
      <c r="C675" s="1">
        <v>15000</v>
      </c>
      <c r="D675" s="1">
        <v>5.5</v>
      </c>
      <c r="E675" s="1" t="str">
        <f ca="1">IFERROR(__xludf.DUMMYFUNCTION("GOOGLETRANSLATE(E675, ""en"", ""ko"")"),"알래스카 원주민 게임, 에스키모 올림픽, 일반")</f>
        <v>알래스카 원주민 게임, 에스키모 올림픽, 일반</v>
      </c>
      <c r="M675" s="1"/>
      <c r="O675" s="1"/>
    </row>
    <row r="676" spans="1:15" ht="16.5" customHeight="1">
      <c r="A676" s="1">
        <v>674</v>
      </c>
      <c r="B676" s="1" t="str">
        <f ca="1">IFERROR(__xludf.DUMMYFUNCTION("GOOGLETRANSLATE(B676, ""en"", ""ko"")"),"스포츠")</f>
        <v>스포츠</v>
      </c>
      <c r="C676" s="1">
        <v>15010</v>
      </c>
      <c r="D676" s="1">
        <v>4.3</v>
      </c>
      <c r="E676" s="1" t="str">
        <f ca="1">IFERROR(__xludf.DUMMYFUNCTION("GOOGLETRANSLATE(E676, ""en"", ""ko"")"),"양궁(사냥 제외)")</f>
        <v>양궁(사냥 제외)</v>
      </c>
      <c r="M676" s="1"/>
      <c r="O676" s="1"/>
    </row>
    <row r="677" spans="1:15" ht="16.5" customHeight="1">
      <c r="A677" s="1">
        <v>675</v>
      </c>
      <c r="B677" s="1" t="str">
        <f ca="1">IFERROR(__xludf.DUMMYFUNCTION("GOOGLETRANSLATE(B677, ""en"", ""ko"")"),"스포츠")</f>
        <v>스포츠</v>
      </c>
      <c r="C677" s="1">
        <v>15020</v>
      </c>
      <c r="D677" s="1">
        <v>7</v>
      </c>
      <c r="E677" s="1" t="str">
        <f ca="1">IFERROR(__xludf.DUMMYFUNCTION("GOOGLETRANSLATE(E677, ""en"", ""ko"")"),"배드민턴, 경쟁 ")</f>
        <v xml:space="preserve">배드민턴, 경쟁 </v>
      </c>
      <c r="M677" s="1"/>
      <c r="O677" s="1"/>
    </row>
    <row r="678" spans="1:15" ht="16.5" customHeight="1">
      <c r="A678" s="1">
        <v>676</v>
      </c>
      <c r="B678" s="1" t="str">
        <f ca="1">IFERROR(__xludf.DUMMYFUNCTION("GOOGLETRANSLATE(B678, ""en"", ""ko"")"),"스포츠")</f>
        <v>스포츠</v>
      </c>
      <c r="C678" s="1">
        <v>15025</v>
      </c>
      <c r="D678" s="1">
        <v>9</v>
      </c>
      <c r="E678" s="1" t="str">
        <f ca="1">IFERROR(__xludf.DUMMYFUNCTION("GOOGLETRANSLATE(E678, ""en"", ""ko"")"),"배드민턴, 경쟁, 매치 플레이")</f>
        <v>배드민턴, 경쟁, 매치 플레이</v>
      </c>
      <c r="M678" s="1"/>
      <c r="O678" s="1"/>
    </row>
    <row r="679" spans="1:15" ht="16.5" customHeight="1">
      <c r="A679" s="1">
        <v>677</v>
      </c>
      <c r="B679" s="1" t="str">
        <f ca="1">IFERROR(__xludf.DUMMYFUNCTION("GOOGLETRANSLATE(B679, ""en"", ""ko"")"),"스포츠")</f>
        <v>스포츠</v>
      </c>
      <c r="C679" s="1">
        <v>15030</v>
      </c>
      <c r="D679" s="1">
        <v>5.5</v>
      </c>
      <c r="E679" s="1" t="str">
        <f ca="1">IFERROR(__xludf.DUMMYFUNCTION("GOOGLETRANSLATE(E679, ""en"", ""ko"")"),"배드민턴, 사회 싱글 및 더블, 일반")</f>
        <v>배드민턴, 사회 싱글 및 더블, 일반</v>
      </c>
      <c r="M679" s="1"/>
      <c r="O679" s="1"/>
    </row>
    <row r="680" spans="1:15" ht="16.5" customHeight="1">
      <c r="A680" s="1">
        <v>678</v>
      </c>
      <c r="B680" s="1" t="str">
        <f ca="1">IFERROR(__xludf.DUMMYFUNCTION("GOOGLETRANSLATE(B680, ""en"", ""ko"")"),"스포츠")</f>
        <v>스포츠</v>
      </c>
      <c r="C680" s="1">
        <v>15040</v>
      </c>
      <c r="D680" s="1">
        <v>8</v>
      </c>
      <c r="E680" s="1" t="str">
        <f ca="1">IFERROR(__xludf.DUMMYFUNCTION("GOOGLETRANSLATE(E680, ""en"", ""ko"")"),"농구, 게임 ")</f>
        <v xml:space="preserve">농구, 게임 </v>
      </c>
      <c r="M680" s="1"/>
      <c r="O680" s="1"/>
    </row>
    <row r="681" spans="1:15" ht="16.5" customHeight="1">
      <c r="A681" s="1">
        <v>679</v>
      </c>
      <c r="B681" s="1" t="str">
        <f ca="1">IFERROR(__xludf.DUMMYFUNCTION("GOOGLETRANSLATE(B681, ""en"", ""ko"")"),"스포츠")</f>
        <v>스포츠</v>
      </c>
      <c r="C681" s="1">
        <v>15050</v>
      </c>
      <c r="D681" s="1">
        <v>6</v>
      </c>
      <c r="E681" s="1" t="str">
        <f ca="1">IFERROR(__xludf.DUMMYFUNCTION("GOOGLETRANSLATE(E681, ""en"", ""ko"")"),"농구, 비경기, 일반)")</f>
        <v>농구, 비경기, 일반)</v>
      </c>
      <c r="M681" s="1"/>
      <c r="O681" s="1"/>
    </row>
    <row r="682" spans="1:15" ht="16.5" customHeight="1">
      <c r="A682" s="1">
        <v>680</v>
      </c>
      <c r="B682" s="1" t="str">
        <f ca="1">IFERROR(__xludf.DUMMYFUNCTION("GOOGLETRANSLATE(B682, ""en"", ""ko"")"),"스포츠")</f>
        <v>스포츠</v>
      </c>
      <c r="C682" s="1">
        <v>15055</v>
      </c>
      <c r="D682" s="1">
        <v>7.5</v>
      </c>
      <c r="E682" s="1" t="str">
        <f ca="1">IFERROR(__xludf.DUMMYFUNCTION("GOOGLETRANSLATE(E682, ""en"", ""ko"")"),"농구, 일반")</f>
        <v>농구, 일반</v>
      </c>
      <c r="M682" s="1"/>
      <c r="O682" s="1"/>
    </row>
    <row r="683" spans="1:15" ht="16.5" customHeight="1">
      <c r="A683" s="1">
        <v>681</v>
      </c>
      <c r="B683" s="1" t="str">
        <f ca="1">IFERROR(__xludf.DUMMYFUNCTION("GOOGLETRANSLATE(B683, ""en"", ""ko"")"),"스포츠")</f>
        <v>스포츠</v>
      </c>
      <c r="C683" s="1">
        <v>15060</v>
      </c>
      <c r="D683" s="1">
        <v>7</v>
      </c>
      <c r="E683" s="1" t="str">
        <f ca="1">IFERROR(__xludf.DUMMYFUNCTION("GOOGLETRANSLATE(E683, ""en"", ""ko"")"),"농구, 심판")</f>
        <v>농구, 심판</v>
      </c>
      <c r="M683" s="1"/>
      <c r="O683" s="1"/>
    </row>
    <row r="684" spans="1:15" ht="16.5" customHeight="1">
      <c r="A684" s="1">
        <v>682</v>
      </c>
      <c r="B684" s="1" t="str">
        <f ca="1">IFERROR(__xludf.DUMMYFUNCTION("GOOGLETRANSLATE(B684, ""en"", ""ko"")"),"스포츠")</f>
        <v>스포츠</v>
      </c>
      <c r="C684" s="1">
        <v>15062</v>
      </c>
      <c r="D684" s="1">
        <v>5.8</v>
      </c>
      <c r="E684" s="1" t="str">
        <f ca="1">IFERROR(__xludf.DUMMYFUNCTION("GOOGLETRANSLATE(E684, ""en"", ""ko"")"),"농구, 심판")</f>
        <v>농구, 심판</v>
      </c>
      <c r="M684" s="1"/>
      <c r="O684" s="1"/>
    </row>
    <row r="685" spans="1:15" ht="16.5" customHeight="1">
      <c r="A685" s="1">
        <v>683</v>
      </c>
      <c r="B685" s="1" t="str">
        <f ca="1">IFERROR(__xludf.DUMMYFUNCTION("GOOGLETRANSLATE(B685, ""en"", ""ko"")"),"스포츠")</f>
        <v>스포츠</v>
      </c>
      <c r="C685" s="1">
        <v>15070</v>
      </c>
      <c r="D685" s="1">
        <v>5</v>
      </c>
      <c r="E685" s="1" t="str">
        <f ca="1">IFERROR(__xludf.DUMMYFUNCTION("GOOGLETRANSLATE(E685, ""en"", ""ko"")"),"농구, 슛팅")</f>
        <v>농구, 슛팅</v>
      </c>
      <c r="M685" s="1"/>
      <c r="O685" s="1"/>
    </row>
    <row r="686" spans="1:15" ht="16.5" customHeight="1">
      <c r="A686" s="1">
        <v>684</v>
      </c>
      <c r="B686" s="1" t="str">
        <f ca="1">IFERROR(__xludf.DUMMYFUNCTION("GOOGLETRANSLATE(B686, ""en"", ""ko"")"),"스포츠")</f>
        <v>스포츠</v>
      </c>
      <c r="C686" s="1">
        <v>15072</v>
      </c>
      <c r="D686" s="1">
        <v>9.3000000000000007</v>
      </c>
      <c r="E686" s="1" t="str">
        <f ca="1">IFERROR(__xludf.DUMMYFUNCTION("GOOGLETRANSLATE(E686, ""en"", ""ko"")"),"농구, 훈련, 연습")</f>
        <v>농구, 훈련, 연습</v>
      </c>
      <c r="M686" s="1"/>
      <c r="O686" s="1"/>
    </row>
    <row r="687" spans="1:15" ht="16.5" customHeight="1">
      <c r="A687" s="1">
        <v>685</v>
      </c>
      <c r="B687" s="1" t="str">
        <f ca="1">IFERROR(__xludf.DUMMYFUNCTION("GOOGLETRANSLATE(B687, ""en"", ""ko"")"),"스포츠")</f>
        <v>스포츠</v>
      </c>
      <c r="C687" s="1">
        <v>15080</v>
      </c>
      <c r="D687" s="1">
        <v>2.5</v>
      </c>
      <c r="E687" s="1" t="str">
        <f ca="1">IFERROR(__xludf.DUMMYFUNCTION("GOOGLETRANSLATE(E687, ""en"", ""ko"")"),"당구")</f>
        <v>당구</v>
      </c>
      <c r="M687" s="1"/>
      <c r="O687" s="1"/>
    </row>
    <row r="688" spans="1:15" ht="16.5" customHeight="1">
      <c r="A688" s="1">
        <v>686</v>
      </c>
      <c r="B688" s="1" t="str">
        <f ca="1">IFERROR(__xludf.DUMMYFUNCTION("GOOGLETRANSLATE(B688, ""en"", ""ko"")"),"스포츠")</f>
        <v>스포츠</v>
      </c>
      <c r="C688" s="1">
        <v>15090</v>
      </c>
      <c r="D688" s="1">
        <v>3</v>
      </c>
      <c r="E688" s="1" t="str">
        <f ca="1">IFERROR(__xludf.DUMMYFUNCTION("GOOGLETRANSLATE(E688, ""en"", ""ko"")"),"볼링")</f>
        <v>볼링</v>
      </c>
      <c r="M688" s="1"/>
      <c r="O688" s="1"/>
    </row>
    <row r="689" spans="1:15" ht="16.5" customHeight="1">
      <c r="A689" s="1">
        <v>687</v>
      </c>
      <c r="B689" s="1" t="str">
        <f ca="1">IFERROR(__xludf.DUMMYFUNCTION("GOOGLETRANSLATE(B689, ""en"", ""ko"")"),"스포츠")</f>
        <v>스포츠</v>
      </c>
      <c r="C689" s="1">
        <v>15092</v>
      </c>
      <c r="D689" s="1">
        <v>3.8</v>
      </c>
      <c r="E689" s="1" t="str">
        <f ca="1">IFERROR(__xludf.DUMMYFUNCTION("GOOGLETRANSLATE(E689, ""en"", ""ko"")"),"볼링, 실내, 볼링장")</f>
        <v>볼링, 실내, 볼링장</v>
      </c>
      <c r="M689" s="1"/>
      <c r="O689" s="1"/>
    </row>
    <row r="690" spans="1:15" ht="16.5" customHeight="1">
      <c r="A690" s="1">
        <v>688</v>
      </c>
      <c r="B690" s="1" t="str">
        <f ca="1">IFERROR(__xludf.DUMMYFUNCTION("GOOGLETRANSLATE(B690, ""en"", ""ko"")"),"스포츠")</f>
        <v>스포츠</v>
      </c>
      <c r="C690" s="1">
        <v>15100</v>
      </c>
      <c r="D690" s="1">
        <v>12.3</v>
      </c>
      <c r="E690" s="1" t="str">
        <f ca="1">IFERROR(__xludf.DUMMYFUNCTION("GOOGLETRANSLATE(E690, ""en"", ""ko"")"),"복싱, 링, 일반")</f>
        <v>복싱, 링, 일반</v>
      </c>
      <c r="M690" s="1"/>
      <c r="O690" s="1"/>
    </row>
    <row r="691" spans="1:15" ht="16.5" customHeight="1">
      <c r="A691" s="1">
        <v>689</v>
      </c>
      <c r="B691" s="1" t="str">
        <f ca="1">IFERROR(__xludf.DUMMYFUNCTION("GOOGLETRANSLATE(B691, ""en"", ""ko"")"),"스포츠")</f>
        <v>스포츠</v>
      </c>
      <c r="C691" s="1">
        <v>15110</v>
      </c>
      <c r="D691" s="1">
        <v>5.8</v>
      </c>
      <c r="E691" s="1" t="str">
        <f ca="1">IFERROR(__xludf.DUMMYFUNCTION("GOOGLETRANSLATE(E691, ""en"", ""ko"")"),"복싱, 샌드백")</f>
        <v>복싱, 샌드백</v>
      </c>
      <c r="M691" s="1"/>
      <c r="O691" s="1"/>
    </row>
    <row r="692" spans="1:15" ht="16.5" customHeight="1">
      <c r="A692" s="1">
        <v>690</v>
      </c>
      <c r="B692" s="1" t="str">
        <f ca="1">IFERROR(__xludf.DUMMYFUNCTION("GOOGLETRANSLATE(B692, ""en"", ""ko"")"),"스포츠")</f>
        <v>스포츠</v>
      </c>
      <c r="C692" s="1">
        <v>15113</v>
      </c>
      <c r="D692" s="1">
        <v>7</v>
      </c>
      <c r="E692" s="1" t="str">
        <f ca="1">IFERROR(__xludf.DUMMYFUNCTION("GOOGLETRANSLATE(E692, ""en"", ""ko"")"),"복싱, 샌드백, 60b/min")</f>
        <v>복싱, 샌드백, 60b/min</v>
      </c>
      <c r="M692" s="1"/>
      <c r="O692" s="1"/>
    </row>
    <row r="693" spans="1:15" ht="16.5" customHeight="1">
      <c r="A693" s="1">
        <v>691</v>
      </c>
      <c r="B693" s="1" t="str">
        <f ca="1">IFERROR(__xludf.DUMMYFUNCTION("GOOGLETRANSLATE(B693, ""en"", ""ko"")"),"스포츠")</f>
        <v>스포츠</v>
      </c>
      <c r="C693" s="1">
        <v>15115</v>
      </c>
      <c r="D693" s="1">
        <v>8.5</v>
      </c>
      <c r="E693" s="1" t="str">
        <f ca="1">IFERROR(__xludf.DUMMYFUNCTION("GOOGLETRANSLATE(E693, ""en"", ""ko"")"),"복싱, 샌드백, 120b/min")</f>
        <v>복싱, 샌드백, 120b/min</v>
      </c>
      <c r="M693" s="1"/>
      <c r="O693" s="1"/>
    </row>
    <row r="694" spans="1:15" ht="16.5" customHeight="1">
      <c r="A694" s="1">
        <v>692</v>
      </c>
      <c r="B694" s="1" t="str">
        <f ca="1">IFERROR(__xludf.DUMMYFUNCTION("GOOGLETRANSLATE(B694, ""en"", ""ko"")"),"스포츠")</f>
        <v>스포츠</v>
      </c>
      <c r="C694" s="1">
        <v>15118</v>
      </c>
      <c r="D694" s="1">
        <v>10.8</v>
      </c>
      <c r="E694" s="1" t="str">
        <f ca="1">IFERROR(__xludf.DUMMYFUNCTION("GOOGLETRANSLATE(E694, ""en"", ""ko"")"),"복싱, 샌드백, 180b/min")</f>
        <v>복싱, 샌드백, 180b/min</v>
      </c>
      <c r="M694" s="1"/>
      <c r="O694" s="1"/>
    </row>
    <row r="695" spans="1:15" ht="16.5" customHeight="1">
      <c r="A695" s="1">
        <v>693</v>
      </c>
      <c r="B695" s="1" t="str">
        <f ca="1">IFERROR(__xludf.DUMMYFUNCTION("GOOGLETRANSLATE(B695, ""en"", ""ko"")"),"스포츠")</f>
        <v>스포츠</v>
      </c>
      <c r="C695" s="1">
        <v>15120</v>
      </c>
      <c r="D695" s="1">
        <v>7.8</v>
      </c>
      <c r="E695" s="1" t="str">
        <f ca="1">IFERROR(__xludf.DUMMYFUNCTION("GOOGLETRANSLATE(E695, ""en"", ""ko"")"),"복싱, 스파링")</f>
        <v>복싱, 스파링</v>
      </c>
      <c r="M695" s="1"/>
      <c r="O695" s="1"/>
    </row>
    <row r="696" spans="1:15" ht="16.5" customHeight="1">
      <c r="A696" s="1">
        <v>694</v>
      </c>
      <c r="B696" s="1" t="str">
        <f ca="1">IFERROR(__xludf.DUMMYFUNCTION("GOOGLETRANSLATE(B696, ""en"", ""ko"")"),"스포츠")</f>
        <v>스포츠</v>
      </c>
      <c r="C696" s="1">
        <v>15125</v>
      </c>
      <c r="D696" s="1">
        <v>9.3000000000000007</v>
      </c>
      <c r="E696" s="1" t="str">
        <f ca="1">IFERROR(__xludf.DUMMYFUNCTION("GOOGLETRANSLATE(E696, ""en"", ""ko"")"),"복싱, 모의 복싱 라운드, 운동")</f>
        <v>복싱, 모의 복싱 라운드, 운동</v>
      </c>
      <c r="M696" s="1"/>
      <c r="O696" s="1"/>
    </row>
    <row r="697" spans="1:15" ht="16.5" customHeight="1">
      <c r="A697" s="1">
        <v>695</v>
      </c>
      <c r="B697" s="1" t="str">
        <f ca="1">IFERROR(__xludf.DUMMYFUNCTION("GOOGLETRANSLATE(B697, ""en"", ""ko"")"),"스포츠")</f>
        <v>스포츠</v>
      </c>
      <c r="C697" s="1">
        <v>15130</v>
      </c>
      <c r="D697" s="1">
        <v>7</v>
      </c>
      <c r="E697" s="1" t="str">
        <f ca="1">IFERROR(__xludf.DUMMYFUNCTION("GOOGLETRANSLATE(E697, ""en"", ""ko"")"),"브룸볼")</f>
        <v>브룸볼</v>
      </c>
      <c r="M697" s="1"/>
      <c r="O697" s="1"/>
    </row>
    <row r="698" spans="1:15" ht="16.5" customHeight="1">
      <c r="A698" s="1">
        <v>696</v>
      </c>
      <c r="B698" s="1" t="str">
        <f ca="1">IFERROR(__xludf.DUMMYFUNCTION("GOOGLETRANSLATE(B698, ""en"", ""ko"")"),"스포츠")</f>
        <v>스포츠</v>
      </c>
      <c r="C698" s="1">
        <v>15135</v>
      </c>
      <c r="D698" s="1">
        <v>5.8</v>
      </c>
      <c r="E698" s="1" t="str">
        <f ca="1">IFERROR(__xludf.DUMMYFUNCTION("GOOGLETRANSLATE(E698, ""en"", ""ko"")"),"어린이용 게임, 성인용 게임(예: 딱지치기, 4각형, 닷지볼, 놀이터 기구, 티볼, 테더볼, 구슬치기)")</f>
        <v>어린이용 게임, 성인용 게임(예: 딱지치기, 4각형, 닷지볼, 놀이터 기구, 티볼, 테더볼, 구슬치기)</v>
      </c>
      <c r="M698" s="1"/>
      <c r="O698" s="1"/>
    </row>
    <row r="699" spans="1:15" ht="16.5" customHeight="1">
      <c r="A699" s="1">
        <v>697</v>
      </c>
      <c r="B699" s="1" t="str">
        <f ca="1">IFERROR(__xludf.DUMMYFUNCTION("GOOGLETRANSLATE(B699, ""en"", ""ko"")"),"스포츠")</f>
        <v>스포츠</v>
      </c>
      <c r="C699" s="1">
        <v>15135</v>
      </c>
      <c r="D699" s="1">
        <v>5.8</v>
      </c>
      <c r="E699" s="1" t="str">
        <f ca="1">IFERROR(__xludf.DUMMYFUNCTION("GOOGLETRANSLATE(E699, ""en"", ""ko"")"),"어린이용 게임, 성인용 게임(예: 딱지치기, 4각형, 닷지볼, 놀이터 기구, 티볼, 테더볼, 구슬치기, 잭, 아케이드 게임), 중간 정도의 노력")</f>
        <v>어린이용 게임, 성인용 게임(예: 딱지치기, 4각형, 닷지볼, 놀이터 기구, 티볼, 테더볼, 구슬치기, 잭, 아케이드 게임), 중간 정도의 노력</v>
      </c>
      <c r="M699" s="1"/>
      <c r="O699" s="1"/>
    </row>
    <row r="700" spans="1:15" ht="16.5" customHeight="1">
      <c r="A700" s="1">
        <v>698</v>
      </c>
      <c r="B700" s="1" t="str">
        <f ca="1">IFERROR(__xludf.DUMMYFUNCTION("GOOGLETRANSLATE(B700, ""en"", ""ko"")"),"스포츠")</f>
        <v>스포츠</v>
      </c>
      <c r="C700" s="1">
        <v>15138</v>
      </c>
      <c r="D700" s="1">
        <v>6</v>
      </c>
      <c r="E700" s="1" t="str">
        <f ca="1">IFERROR(__xludf.DUMMYFUNCTION("GOOGLETRANSLATE(E700, ""en"", ""ko"")"),"치어리딩, 체조 동작, 경쟁")</f>
        <v>치어리딩, 체조 동작, 경쟁</v>
      </c>
      <c r="M700" s="1"/>
      <c r="O700" s="1"/>
    </row>
    <row r="701" spans="1:15" ht="16.5" customHeight="1">
      <c r="A701" s="1">
        <v>699</v>
      </c>
      <c r="B701" s="1" t="str">
        <f ca="1">IFERROR(__xludf.DUMMYFUNCTION("GOOGLETRANSLATE(B701, ""en"", ""ko"")"),"스포츠")</f>
        <v>스포츠</v>
      </c>
      <c r="C701" s="1">
        <v>15140</v>
      </c>
      <c r="D701" s="1">
        <v>4</v>
      </c>
      <c r="E701" s="1" t="str">
        <f ca="1">IFERROR(__xludf.DUMMYFUNCTION("GOOGLETRANSLATE(E701, ""en"", ""ko"")"),"코칭, 축구, 축구, 농구, 야구, 수영 등")</f>
        <v>코칭, 축구, 축구, 농구, 야구, 수영 등</v>
      </c>
      <c r="M701" s="1"/>
      <c r="O701" s="1"/>
    </row>
    <row r="702" spans="1:15" ht="16.5" customHeight="1">
      <c r="A702" s="1">
        <v>700</v>
      </c>
      <c r="B702" s="1" t="str">
        <f ca="1">IFERROR(__xludf.DUMMYFUNCTION("GOOGLETRANSLATE(B702, ""en"", ""ko"")"),"스포츠")</f>
        <v>스포츠</v>
      </c>
      <c r="C702" s="1">
        <v>15142</v>
      </c>
      <c r="D702" s="1">
        <v>8</v>
      </c>
      <c r="E702" s="1" t="str">
        <f ca="1">IFERROR(__xludf.DUMMYFUNCTION("GOOGLETRANSLATE(E702, ""en"", ""ko"")"),"코칭, 선수들과 적극적으로 스포츠를 즐기다")</f>
        <v>코칭, 선수들과 적극적으로 스포츠를 즐기다</v>
      </c>
      <c r="M702" s="1"/>
      <c r="O702" s="1"/>
    </row>
    <row r="703" spans="1:15" ht="16.5" customHeight="1">
      <c r="A703" s="1">
        <v>701</v>
      </c>
      <c r="B703" s="1" t="str">
        <f ca="1">IFERROR(__xludf.DUMMYFUNCTION("GOOGLETRANSLATE(B703, ""en"", ""ko"")"),"스포츠")</f>
        <v>스포츠</v>
      </c>
      <c r="C703" s="1">
        <v>15150</v>
      </c>
      <c r="D703" s="1">
        <v>4.8</v>
      </c>
      <c r="E703" s="1" t="str">
        <f ca="1">IFERROR(__xludf.DUMMYFUNCTION("GOOGLETRANSLATE(E703, ""en"", ""ko"")"),"크리켓, 배팅, 볼링, 필딩")</f>
        <v>크리켓, 배팅, 볼링, 필딩</v>
      </c>
      <c r="M703" s="1"/>
      <c r="O703" s="1"/>
    </row>
    <row r="704" spans="1:15" ht="16.5" customHeight="1">
      <c r="A704" s="1">
        <v>702</v>
      </c>
      <c r="B704" s="1" t="str">
        <f ca="1">IFERROR(__xludf.DUMMYFUNCTION("GOOGLETRANSLATE(B704, ""en"", ""ko"")"),"스포츠")</f>
        <v>스포츠</v>
      </c>
      <c r="C704" s="1">
        <v>15160</v>
      </c>
      <c r="D704" s="1">
        <v>3.3</v>
      </c>
      <c r="E704" s="1" t="str">
        <f ca="1">IFERROR(__xludf.DUMMYFUNCTION("GOOGLETRANSLATE(E704, ""en"", ""ko"")"),"크로케")</f>
        <v>크로케</v>
      </c>
      <c r="M704" s="1"/>
      <c r="O704" s="1"/>
    </row>
    <row r="705" spans="1:15" ht="16.5" customHeight="1">
      <c r="A705" s="1">
        <v>703</v>
      </c>
      <c r="B705" s="1" t="str">
        <f ca="1">IFERROR(__xludf.DUMMYFUNCTION("GOOGLETRANSLATE(B705, ""en"", ""ko"")"),"스포츠")</f>
        <v>스포츠</v>
      </c>
      <c r="C705" s="1">
        <v>15170</v>
      </c>
      <c r="D705" s="1">
        <v>4</v>
      </c>
      <c r="E705" s="1" t="str">
        <f ca="1">IFERROR(__xludf.DUMMYFUNCTION("GOOGLETRANSLATE(E705, ""en"", ""ko"")"),"컬링")</f>
        <v>컬링</v>
      </c>
      <c r="M705" s="1"/>
      <c r="O705" s="1"/>
    </row>
    <row r="706" spans="1:15" ht="16.5" customHeight="1">
      <c r="A706" s="1">
        <v>704</v>
      </c>
      <c r="B706" s="1" t="str">
        <f ca="1">IFERROR(__xludf.DUMMYFUNCTION("GOOGLETRANSLATE(B706, ""en"", ""ko"")"),"스포츠")</f>
        <v>스포츠</v>
      </c>
      <c r="C706" s="1">
        <v>15180</v>
      </c>
      <c r="D706" s="1">
        <v>2.5</v>
      </c>
      <c r="E706" s="1" t="str">
        <f ca="1">IFERROR(__xludf.DUMMYFUNCTION("GOOGLETRANSLATE(E706, ""en"", ""ko"")"),"다트, 벽 또는 잔디")</f>
        <v>다트, 벽 또는 잔디</v>
      </c>
      <c r="M706" s="1"/>
      <c r="O706" s="1"/>
    </row>
    <row r="707" spans="1:15" ht="16.5" customHeight="1">
      <c r="A707" s="1">
        <v>705</v>
      </c>
      <c r="B707" s="1" t="str">
        <f ca="1">IFERROR(__xludf.DUMMYFUNCTION("GOOGLETRANSLATE(B707, ""en"", ""ko"")"),"스포츠")</f>
        <v>스포츠</v>
      </c>
      <c r="C707" s="1">
        <v>15190</v>
      </c>
      <c r="D707" s="1">
        <v>6</v>
      </c>
      <c r="E707" s="1" t="str">
        <f ca="1">IFERROR(__xludf.DUMMYFUNCTION("GOOGLETRANSLATE(E707, ""en"", ""ko"")"),"드래그 레이싱, 자동차 밀기 또는 운전")</f>
        <v>드래그 레이싱, 자동차 밀기 또는 운전</v>
      </c>
      <c r="M707" s="1"/>
      <c r="O707" s="1"/>
    </row>
    <row r="708" spans="1:15" ht="16.5" customHeight="1">
      <c r="A708" s="1">
        <v>706</v>
      </c>
      <c r="B708" s="1" t="str">
        <f ca="1">IFERROR(__xludf.DUMMYFUNCTION("GOOGLETRANSLATE(B708, ""en"", ""ko"")"),"스포츠")</f>
        <v>스포츠</v>
      </c>
      <c r="C708" s="1">
        <v>15192</v>
      </c>
      <c r="D708" s="1">
        <v>8.5</v>
      </c>
      <c r="E708" s="1" t="str">
        <f ca="1">IFERROR(__xludf.DUMMYFUNCTION("GOOGLETRANSLATE(E708, ""en"", ""ko"")"),"자동차 경주, 오픈 휠")</f>
        <v>자동차 경주, 오픈 휠</v>
      </c>
      <c r="M708" s="1"/>
      <c r="O708" s="1"/>
    </row>
    <row r="709" spans="1:15" ht="16.5" customHeight="1">
      <c r="A709" s="1">
        <v>707</v>
      </c>
      <c r="B709" s="1" t="str">
        <f ca="1">IFERROR(__xludf.DUMMYFUNCTION("GOOGLETRANSLATE(B709, ""en"", ""ko"")"),"스포츠")</f>
        <v>스포츠</v>
      </c>
      <c r="C709" s="1">
        <v>15195</v>
      </c>
      <c r="D709" s="1">
        <v>7.8</v>
      </c>
      <c r="E709" s="1" t="str">
        <f ca="1">IFERROR(__xludf.DUMMYFUNCTION("GOOGLETRANSLATE(E709, ""en"", ""ko"")"),"풋살")</f>
        <v>풋살</v>
      </c>
      <c r="M709" s="1"/>
      <c r="O709" s="1"/>
    </row>
    <row r="710" spans="1:15" ht="16.5" customHeight="1">
      <c r="A710" s="1">
        <v>708</v>
      </c>
      <c r="B710" s="1" t="str">
        <f ca="1">IFERROR(__xludf.DUMMYFUNCTION("GOOGLETRANSLATE(B710, ""en"", ""ko"")"),"스포츠")</f>
        <v>스포츠</v>
      </c>
      <c r="C710" s="1">
        <v>15200</v>
      </c>
      <c r="D710" s="1">
        <v>6</v>
      </c>
      <c r="E710" s="1" t="str">
        <f ca="1">IFERROR(__xludf.DUMMYFUNCTION("GOOGLETRANSLATE(E710, ""en"", ""ko"")"),"펜싱, 일반")</f>
        <v>펜싱, 일반</v>
      </c>
      <c r="M710" s="1"/>
      <c r="O710" s="1"/>
    </row>
    <row r="711" spans="1:15" ht="16.5" customHeight="1">
      <c r="A711" s="1">
        <v>709</v>
      </c>
      <c r="B711" s="1" t="str">
        <f ca="1">IFERROR(__xludf.DUMMYFUNCTION("GOOGLETRANSLATE(B711, ""en"", ""ko"")"),"스포츠")</f>
        <v>스포츠</v>
      </c>
      <c r="C711" s="1">
        <v>15203</v>
      </c>
      <c r="D711" s="1">
        <v>9.8000000000000007</v>
      </c>
      <c r="E711" s="1" t="str">
        <f ca="1">IFERROR(__xludf.DUMMYFUNCTION("GOOGLETRANSLATE(E711, ""en"", ""ko"")"),"펜싱, 에페, 경쟁")</f>
        <v>펜싱, 에페, 경쟁</v>
      </c>
      <c r="M711" s="1"/>
      <c r="O711" s="1"/>
    </row>
    <row r="712" spans="1:15" ht="16.5" customHeight="1">
      <c r="A712" s="1">
        <v>710</v>
      </c>
      <c r="B712" s="1" t="str">
        <f ca="1">IFERROR(__xludf.DUMMYFUNCTION("GOOGLETRANSLATE(B712, ""en"", ""ko"")"),"스포츠")</f>
        <v>스포츠</v>
      </c>
      <c r="C712" s="1">
        <v>15205</v>
      </c>
      <c r="D712" s="1">
        <v>10.5</v>
      </c>
      <c r="E712" s="1" t="str">
        <f ca="1">IFERROR(__xludf.DUMMYFUNCTION("GOOGLETRANSLATE(E712, ""en"", ""ko"")"),"플로어볼")</f>
        <v>플로어볼</v>
      </c>
      <c r="M712" s="1"/>
      <c r="O712" s="1"/>
    </row>
    <row r="713" spans="1:15" ht="16.5" customHeight="1">
      <c r="A713" s="1">
        <v>711</v>
      </c>
      <c r="B713" s="1" t="str">
        <f ca="1">IFERROR(__xludf.DUMMYFUNCTION("GOOGLETRANSLATE(B713, ""en"", ""ko"")"),"스포츠")</f>
        <v>스포츠</v>
      </c>
      <c r="C713" s="1">
        <v>15210</v>
      </c>
      <c r="D713" s="1">
        <v>8</v>
      </c>
      <c r="E713" s="1" t="str">
        <f ca="1">IFERROR(__xludf.DUMMYFUNCTION("GOOGLETRANSLATE(E713, ""en"", ""ko"")"),"축구, 경쟁")</f>
        <v>축구, 경쟁</v>
      </c>
      <c r="M713" s="1"/>
      <c r="O713" s="1"/>
    </row>
    <row r="714" spans="1:15" ht="16.5" customHeight="1">
      <c r="A714" s="1">
        <v>712</v>
      </c>
      <c r="B714" s="1" t="str">
        <f ca="1">IFERROR(__xludf.DUMMYFUNCTION("GOOGLETRANSLATE(B714, ""en"", ""ko"")"),"스포츠")</f>
        <v>스포츠</v>
      </c>
      <c r="C714" s="1">
        <v>15230</v>
      </c>
      <c r="D714" s="1">
        <v>8</v>
      </c>
      <c r="E714" s="1" t="str">
        <f ca="1">IFERROR(__xludf.DUMMYFUNCTION("GOOGLETRANSLATE(E714, ""en"", ""ko"")"),"축구, 터치, 플래그, 일반")</f>
        <v>축구, 터치, 플래그, 일반</v>
      </c>
      <c r="M714" s="1"/>
      <c r="O714" s="1"/>
    </row>
    <row r="715" spans="1:15" ht="16.5" customHeight="1">
      <c r="A715" s="1">
        <v>713</v>
      </c>
      <c r="B715" s="1" t="str">
        <f ca="1">IFERROR(__xludf.DUMMYFUNCTION("GOOGLETRANSLATE(B715, ""en"", ""ko"")"),"스포츠")</f>
        <v>스포츠</v>
      </c>
      <c r="C715" s="1">
        <v>15232</v>
      </c>
      <c r="D715" s="1">
        <v>4</v>
      </c>
      <c r="E715" s="1" t="str">
        <f ca="1">IFERROR(__xludf.DUMMYFUNCTION("GOOGLETRANSLATE(E715, ""en"", ""ko"")"),"축구, 터치, 플래그, 가벼운 노력")</f>
        <v>축구, 터치, 플래그, 가벼운 노력</v>
      </c>
      <c r="M715" s="1"/>
      <c r="O715" s="1"/>
    </row>
    <row r="716" spans="1:15" ht="16.5" customHeight="1">
      <c r="A716" s="1">
        <v>714</v>
      </c>
      <c r="B716" s="1" t="str">
        <f ca="1">IFERROR(__xludf.DUMMYFUNCTION("GOOGLETRANSLATE(B716, ""en"", ""ko"")"),"스포츠")</f>
        <v>스포츠</v>
      </c>
      <c r="C716" s="1">
        <v>15235</v>
      </c>
      <c r="D716" s="1">
        <v>2.5</v>
      </c>
      <c r="E716" s="1" t="str">
        <f ca="1">IFERROR(__xludf.DUMMYFUNCTION("GOOGLETRANSLATE(E716, ""en"", ""ko"")"),"축구나 야구, 캐치볼")</f>
        <v>축구나 야구, 캐치볼</v>
      </c>
      <c r="M716" s="1"/>
      <c r="O716" s="1"/>
    </row>
    <row r="717" spans="1:15" ht="16.5" customHeight="1">
      <c r="A717" s="1">
        <v>715</v>
      </c>
      <c r="B717" s="1" t="str">
        <f ca="1">IFERROR(__xludf.DUMMYFUNCTION("GOOGLETRANSLATE(B717, ""en"", ""ko"")"),"스포츠")</f>
        <v>스포츠</v>
      </c>
      <c r="C717" s="1">
        <v>15240</v>
      </c>
      <c r="D717" s="1">
        <v>3</v>
      </c>
      <c r="E717" s="1" t="str">
        <f ca="1">IFERROR(__xludf.DUMMYFUNCTION("GOOGLETRANSLATE(E717, ""en"", ""ko"")"),"프리즈비 놀이, 일반")</f>
        <v>프리즈비 놀이, 일반</v>
      </c>
      <c r="M717" s="1"/>
      <c r="O717" s="1"/>
    </row>
    <row r="718" spans="1:15" ht="16.5" customHeight="1">
      <c r="A718" s="1">
        <v>716</v>
      </c>
      <c r="B718" s="1" t="str">
        <f ca="1">IFERROR(__xludf.DUMMYFUNCTION("GOOGLETRANSLATE(B718, ""en"", ""ko"")"),"스포츠")</f>
        <v>스포츠</v>
      </c>
      <c r="C718" s="1">
        <v>15250</v>
      </c>
      <c r="D718" s="1">
        <v>8</v>
      </c>
      <c r="E718" s="1" t="str">
        <f ca="1">IFERROR(__xludf.DUMMYFUNCTION("GOOGLETRANSLATE(E718, ""en"", ""ko"")"),"프리즈비, 얼티밋")</f>
        <v>프리즈비, 얼티밋</v>
      </c>
      <c r="M718" s="1"/>
      <c r="O718" s="1"/>
    </row>
    <row r="719" spans="1:15" ht="16.5" customHeight="1">
      <c r="A719" s="1">
        <v>717</v>
      </c>
      <c r="B719" s="1" t="str">
        <f ca="1">IFERROR(__xludf.DUMMYFUNCTION("GOOGLETRANSLATE(B719, ""en"", ""ko"")"),"스포츠")</f>
        <v>스포츠</v>
      </c>
      <c r="C719" s="1">
        <v>15252</v>
      </c>
      <c r="D719" s="1">
        <v>3.8</v>
      </c>
      <c r="E719" s="1" t="str">
        <f ca="1">IFERROR(__xludf.DUMMYFUNCTION("GOOGLETRANSLATE(E719, ""en"", ""ko"")"),"프리즈비 골프")</f>
        <v>프리즈비 골프</v>
      </c>
      <c r="M719" s="1"/>
      <c r="O719" s="1"/>
    </row>
    <row r="720" spans="1:15" ht="16.5" customHeight="1">
      <c r="A720" s="1">
        <v>718</v>
      </c>
      <c r="B720" s="1" t="str">
        <f ca="1">IFERROR(__xludf.DUMMYFUNCTION("GOOGLETRANSLATE(B720, ""en"", ""ko"")"),"스포츠")</f>
        <v>스포츠</v>
      </c>
      <c r="C720" s="1">
        <v>15255</v>
      </c>
      <c r="D720" s="1">
        <v>4.5</v>
      </c>
      <c r="E720" s="1" t="str">
        <f ca="1">IFERROR(__xludf.DUMMYFUNCTION("GOOGLETRANSLATE(E720, ""en"", ""ko"")"),"골프, 일반")</f>
        <v>골프, 일반</v>
      </c>
      <c r="M720" s="1"/>
      <c r="O720" s="1"/>
    </row>
    <row r="721" spans="1:15" ht="16.5" customHeight="1">
      <c r="A721" s="1">
        <v>719</v>
      </c>
      <c r="B721" s="1" t="str">
        <f ca="1">IFERROR(__xludf.DUMMYFUNCTION("GOOGLETRANSLATE(B721, ""en"", ""ko"")"),"스포츠")</f>
        <v>스포츠</v>
      </c>
      <c r="C721" s="1">
        <v>15265</v>
      </c>
      <c r="D721" s="1">
        <v>4.3</v>
      </c>
      <c r="E721" s="1" t="str">
        <f ca="1">IFERROR(__xludf.DUMMYFUNCTION("GOOGLETRANSLATE(E721, ""en"", ""ko"")"),"골프, 걷기, 클럽 운반")</f>
        <v>골프, 걷기, 클럽 운반</v>
      </c>
      <c r="M721" s="1"/>
      <c r="O721" s="1"/>
    </row>
    <row r="722" spans="1:15" ht="16.5" customHeight="1">
      <c r="A722" s="1">
        <v>720</v>
      </c>
      <c r="B722" s="1" t="str">
        <f ca="1">IFERROR(__xludf.DUMMYFUNCTION("GOOGLETRANSLATE(B722, ""en"", ""ko"")"),"스포츠")</f>
        <v>스포츠</v>
      </c>
      <c r="C722" s="1">
        <v>15270</v>
      </c>
      <c r="D722" s="1">
        <v>3.5</v>
      </c>
      <c r="E722" s="1" t="str">
        <f ca="1">IFERROR(__xludf.DUMMYFUNCTION("GOOGLETRANSLATE(E722, ""en"", ""ko"")"),"골프, 미니어처, 드라이빙 레인지")</f>
        <v>골프, 미니어처, 드라이빙 레인지</v>
      </c>
      <c r="M722" s="1"/>
      <c r="O722" s="1"/>
    </row>
    <row r="723" spans="1:15" ht="16.5" customHeight="1">
      <c r="A723" s="1">
        <v>721</v>
      </c>
      <c r="B723" s="1" t="str">
        <f ca="1">IFERROR(__xludf.DUMMYFUNCTION("GOOGLETRANSLATE(B723, ""en"", ""ko"")"),"스포츠")</f>
        <v>스포츠</v>
      </c>
      <c r="C723" s="1">
        <v>15285</v>
      </c>
      <c r="D723" s="1">
        <v>4.5</v>
      </c>
      <c r="E723" s="1" t="str">
        <f ca="1">IFERROR(__xludf.DUMMYFUNCTION("GOOGLETRANSLATE(E723, ""en"", ""ko"")"),"골프, 걷기, 클럽 당기기")</f>
        <v>골프, 걷기, 클럽 당기기</v>
      </c>
      <c r="M723" s="1"/>
      <c r="O723" s="1"/>
    </row>
    <row r="724" spans="1:15" ht="16.5" customHeight="1">
      <c r="A724" s="1">
        <v>722</v>
      </c>
      <c r="B724" s="1" t="str">
        <f ca="1">IFERROR(__xludf.DUMMYFUNCTION("GOOGLETRANSLATE(B724, ""en"", ""ko"")"),"스포츠")</f>
        <v>스포츠</v>
      </c>
      <c r="C724" s="1">
        <v>15290</v>
      </c>
      <c r="D724" s="1">
        <v>3.5</v>
      </c>
      <c r="E724" s="1" t="str">
        <f ca="1">IFERROR(__xludf.DUMMYFUNCTION("GOOGLETRANSLATE(E724, ""en"", ""ko"")"),"골프, 파워카트 사용")</f>
        <v>골프, 파워카트 사용</v>
      </c>
      <c r="M724" s="1"/>
      <c r="O724" s="1"/>
    </row>
    <row r="725" spans="1:15" ht="16.5" customHeight="1">
      <c r="A725" s="1">
        <v>723</v>
      </c>
      <c r="B725" s="1" t="str">
        <f ca="1">IFERROR(__xludf.DUMMYFUNCTION("GOOGLETRANSLATE(B725, ""en"", ""ko"")"),"스포츠")</f>
        <v>스포츠</v>
      </c>
      <c r="C725" s="1">
        <v>15300</v>
      </c>
      <c r="D725" s="1">
        <v>3.8</v>
      </c>
      <c r="E725" s="1" t="str">
        <f ca="1">IFERROR(__xludf.DUMMYFUNCTION("GOOGLETRANSLATE(E725, ""en"", ""ko"")"),"체조, 일반")</f>
        <v>체조, 일반</v>
      </c>
      <c r="M725" s="1"/>
      <c r="O725" s="1"/>
    </row>
    <row r="726" spans="1:15" ht="16.5" customHeight="1">
      <c r="A726" s="1">
        <v>724</v>
      </c>
      <c r="B726" s="1" t="str">
        <f ca="1">IFERROR(__xludf.DUMMYFUNCTION("GOOGLETRANSLATE(B726, ""en"", ""ko"")"),"스포츠")</f>
        <v>스포츠</v>
      </c>
      <c r="C726" s="1">
        <v>15310</v>
      </c>
      <c r="D726" s="1">
        <v>4</v>
      </c>
      <c r="E726" s="1" t="str">
        <f ca="1">IFERROR(__xludf.DUMMYFUNCTION("GOOGLETRANSLATE(E726, ""en"", ""ko"")"),"해키색")</f>
        <v>해키색</v>
      </c>
      <c r="M726" s="1"/>
      <c r="O726" s="1"/>
    </row>
    <row r="727" spans="1:15" ht="16.5" customHeight="1">
      <c r="A727" s="1">
        <v>725</v>
      </c>
      <c r="B727" s="1" t="str">
        <f ca="1">IFERROR(__xludf.DUMMYFUNCTION("GOOGLETRANSLATE(B727, ""en"", ""ko"")"),"스포츠")</f>
        <v>스포츠</v>
      </c>
      <c r="C727" s="1">
        <v>15320</v>
      </c>
      <c r="D727" s="1">
        <v>12</v>
      </c>
      <c r="E727" s="1" t="str">
        <f ca="1">IFERROR(__xludf.DUMMYFUNCTION("GOOGLETRANSLATE(E727, ""en"", ""ko"")"),"핸드볼, 일반 ")</f>
        <v xml:space="preserve">핸드볼, 일반 </v>
      </c>
      <c r="M727" s="1"/>
      <c r="O727" s="1"/>
    </row>
    <row r="728" spans="1:15" ht="16.5" customHeight="1">
      <c r="A728" s="1">
        <v>726</v>
      </c>
      <c r="B728" s="1" t="str">
        <f ca="1">IFERROR(__xludf.DUMMYFUNCTION("GOOGLETRANSLATE(B728, ""en"", ""ko"")"),"스포츠")</f>
        <v>스포츠</v>
      </c>
      <c r="C728" s="1">
        <v>15330</v>
      </c>
      <c r="D728" s="1">
        <v>8</v>
      </c>
      <c r="E728" s="1" t="str">
        <f ca="1">IFERROR(__xludf.DUMMYFUNCTION("GOOGLETRANSLATE(E728, ""en"", ""ko"")"),"핸드볼, 팀")</f>
        <v>핸드볼, 팀</v>
      </c>
      <c r="M728" s="1"/>
      <c r="O728" s="1"/>
    </row>
    <row r="729" spans="1:15" ht="16.5" customHeight="1">
      <c r="A729" s="1">
        <v>727</v>
      </c>
      <c r="B729" s="1" t="str">
        <f ca="1">IFERROR(__xludf.DUMMYFUNCTION("GOOGLETRANSLATE(B729, ""en"", ""ko"")"),"스포츠")</f>
        <v>스포츠</v>
      </c>
      <c r="C729" s="1">
        <v>15335</v>
      </c>
      <c r="D729" s="1">
        <v>4</v>
      </c>
      <c r="E729" s="1" t="str">
        <f ca="1">IFERROR(__xludf.DUMMYFUNCTION("GOOGLETRANSLATE(E729, ""en"", ""ko"")"),"하이 로프 코스, 다양한 요소")</f>
        <v>하이 로프 코스, 다양한 요소</v>
      </c>
      <c r="M729" s="1"/>
      <c r="O729" s="1"/>
    </row>
    <row r="730" spans="1:15" ht="16.5" customHeight="1">
      <c r="A730" s="1">
        <v>728</v>
      </c>
      <c r="B730" s="1" t="str">
        <f ca="1">IFERROR(__xludf.DUMMYFUNCTION("GOOGLETRANSLATE(B730, ""en"", ""ko"")"),"스포츠")</f>
        <v>스포츠</v>
      </c>
      <c r="C730" s="1">
        <v>15340</v>
      </c>
      <c r="D730" s="1">
        <v>3.5</v>
      </c>
      <c r="E730" s="1" t="str">
        <f ca="1">IFERROR(__xludf.DUMMYFUNCTION("GOOGLETRANSLATE(E730, ""en"", ""ko"")"),"행글라이딩")</f>
        <v>행글라이딩</v>
      </c>
      <c r="M730" s="1"/>
      <c r="O730" s="1"/>
    </row>
    <row r="731" spans="1:15" ht="16.5" customHeight="1">
      <c r="A731" s="1">
        <v>729</v>
      </c>
      <c r="B731" s="1" t="str">
        <f ca="1">IFERROR(__xludf.DUMMYFUNCTION("GOOGLETRANSLATE(B731, ""en"", ""ko"")"),"스포츠")</f>
        <v>스포츠</v>
      </c>
      <c r="C731" s="1">
        <v>15350</v>
      </c>
      <c r="D731" s="1">
        <v>7.8</v>
      </c>
      <c r="E731" s="1" t="str">
        <f ca="1">IFERROR(__xludf.DUMMYFUNCTION("GOOGLETRANSLATE(E731, ""en"", ""ko"")"),"하키, 필드")</f>
        <v>하키, 필드</v>
      </c>
      <c r="M731" s="1"/>
      <c r="O731" s="1"/>
    </row>
    <row r="732" spans="1:15" ht="16.5" customHeight="1">
      <c r="A732" s="1">
        <v>730</v>
      </c>
      <c r="B732" s="1" t="str">
        <f ca="1">IFERROR(__xludf.DUMMYFUNCTION("GOOGLETRANSLATE(B732, ""en"", ""ko"")"),"스포츠")</f>
        <v>스포츠</v>
      </c>
      <c r="C732" s="1">
        <v>15360</v>
      </c>
      <c r="D732" s="1">
        <v>8</v>
      </c>
      <c r="E732" s="1" t="str">
        <f ca="1">IFERROR(__xludf.DUMMYFUNCTION("GOOGLETRANSLATE(E732, ""en"", ""ko"")"),"하키, 아이스, 일반")</f>
        <v>하키, 아이스, 일반</v>
      </c>
      <c r="M732" s="1"/>
      <c r="O732" s="1"/>
    </row>
    <row r="733" spans="1:15" ht="16.5" customHeight="1">
      <c r="A733" s="1">
        <v>731</v>
      </c>
      <c r="B733" s="1" t="str">
        <f ca="1">IFERROR(__xludf.DUMMYFUNCTION("GOOGLETRANSLATE(B733, ""en"", ""ko"")"),"스포츠")</f>
        <v>스포츠</v>
      </c>
      <c r="C733" s="1">
        <v>15362</v>
      </c>
      <c r="D733" s="1">
        <v>10</v>
      </c>
      <c r="E733" s="1" t="str">
        <f ca="1">IFERROR(__xludf.DUMMYFUNCTION("GOOGLETRANSLATE(E733, ""en"", ""ko"")"),"하키, 얼음, 경쟁")</f>
        <v>하키, 얼음, 경쟁</v>
      </c>
      <c r="M733" s="1"/>
      <c r="O733" s="1"/>
    </row>
    <row r="734" spans="1:15" ht="16.5" customHeight="1">
      <c r="A734" s="1">
        <v>732</v>
      </c>
      <c r="B734" s="1" t="str">
        <f ca="1">IFERROR(__xludf.DUMMYFUNCTION("GOOGLETRANSLATE(B734, ""en"", ""ko"")"),"스포츠")</f>
        <v>스포츠</v>
      </c>
      <c r="C734" s="1">
        <v>15370</v>
      </c>
      <c r="D734" s="1">
        <v>5.5</v>
      </c>
      <c r="E734" s="1" t="str">
        <f ca="1">IFERROR(__xludf.DUMMYFUNCTION("GOOGLETRANSLATE(E734, ""en"", ""ko"")"),"승마, 일반")</f>
        <v>승마, 일반</v>
      </c>
      <c r="M734" s="1"/>
      <c r="O734" s="1"/>
    </row>
    <row r="735" spans="1:15" ht="16.5" customHeight="1">
      <c r="A735" s="1">
        <v>733</v>
      </c>
      <c r="B735" s="1" t="str">
        <f ca="1">IFERROR(__xludf.DUMMYFUNCTION("GOOGLETRANSLATE(B735, ""en"", ""ko"")"),"스포츠")</f>
        <v>스포츠</v>
      </c>
      <c r="C735" s="1">
        <v>15380</v>
      </c>
      <c r="D735" s="1">
        <v>4.5</v>
      </c>
      <c r="E735" s="1" t="str">
        <f ca="1">IFERROR(__xludf.DUMMYFUNCTION("GOOGLETRANSLATE(E735, ""en"", ""ko"")"),"말 손질, 유지 관리, 안장 씌우기 작업")</f>
        <v>말 손질, 유지 관리, 안장 씌우기 작업</v>
      </c>
      <c r="M735" s="1"/>
      <c r="O735" s="1"/>
    </row>
    <row r="736" spans="1:15" ht="16.5" customHeight="1">
      <c r="A736" s="1">
        <v>734</v>
      </c>
      <c r="B736" s="1" t="str">
        <f ca="1">IFERROR(__xludf.DUMMYFUNCTION("GOOGLETRANSLATE(B736, ""en"", ""ko"")"),"스포츠")</f>
        <v>스포츠</v>
      </c>
      <c r="C736" s="1">
        <v>15390</v>
      </c>
      <c r="D736" s="1">
        <v>5.8</v>
      </c>
      <c r="E736" s="1" t="str">
        <f ca="1">IFERROR(__xludf.DUMMYFUNCTION("GOOGLETRANSLATE(E736, ""en"", ""ko"")"),"승마, 트로팅")</f>
        <v>승마, 트로팅</v>
      </c>
      <c r="M736" s="1"/>
      <c r="O736" s="1"/>
    </row>
    <row r="737" spans="1:15" ht="16.5" customHeight="1">
      <c r="A737" s="1">
        <v>735</v>
      </c>
      <c r="B737" s="1" t="str">
        <f ca="1">IFERROR(__xludf.DUMMYFUNCTION("GOOGLETRANSLATE(B737, ""en"", ""ko"")"),"스포츠")</f>
        <v>스포츠</v>
      </c>
      <c r="C737" s="1">
        <v>15395</v>
      </c>
      <c r="D737" s="1">
        <v>7.3</v>
      </c>
      <c r="E737" s="1" t="str">
        <f ca="1">IFERROR(__xludf.DUMMYFUNCTION("GOOGLETRANSLATE(E737, ""en"", ""ko"")"),"승마, 캔터 또는 갤럽")</f>
        <v>승마, 캔터 또는 갤럽</v>
      </c>
      <c r="M737" s="1"/>
      <c r="O737" s="1"/>
    </row>
    <row r="738" spans="1:15" ht="16.5" customHeight="1">
      <c r="A738" s="1">
        <v>736</v>
      </c>
      <c r="B738" s="1" t="str">
        <f ca="1">IFERROR(__xludf.DUMMYFUNCTION("GOOGLETRANSLATE(B738, ""en"", ""ko"")"),"스포츠")</f>
        <v>스포츠</v>
      </c>
      <c r="C738" s="1">
        <v>15400</v>
      </c>
      <c r="D738" s="1">
        <v>3.8</v>
      </c>
      <c r="E738" s="1" t="str">
        <f ca="1">IFERROR(__xludf.DUMMYFUNCTION("GOOGLETRANSLATE(E738, ""en"", ""ko"")"),"승마, 걷기")</f>
        <v>승마, 걷기</v>
      </c>
      <c r="M738" s="1"/>
      <c r="O738" s="1"/>
    </row>
    <row r="739" spans="1:15" ht="16.5" customHeight="1">
      <c r="A739" s="1">
        <v>737</v>
      </c>
      <c r="B739" s="1" t="str">
        <f ca="1">IFERROR(__xludf.DUMMYFUNCTION("GOOGLETRANSLATE(B739, ""en"", ""ko"")"),"스포츠")</f>
        <v>스포츠</v>
      </c>
      <c r="C739" s="1">
        <v>15402</v>
      </c>
      <c r="D739" s="1">
        <v>9</v>
      </c>
      <c r="E739" s="1" t="str">
        <f ca="1">IFERROR(__xludf.DUMMYFUNCTION("GOOGLETRANSLATE(E739, ""en"", ""ko"")"),"승마, 점프")</f>
        <v>승마, 점프</v>
      </c>
      <c r="M739" s="1"/>
      <c r="O739" s="1"/>
    </row>
    <row r="740" spans="1:15" ht="16.5" customHeight="1">
      <c r="A740" s="1">
        <v>738</v>
      </c>
      <c r="B740" s="1" t="str">
        <f ca="1">IFERROR(__xludf.DUMMYFUNCTION("GOOGLETRANSLATE(B740, ""en"", ""ko"")"),"스포츠")</f>
        <v>스포츠</v>
      </c>
      <c r="C740" s="1">
        <v>15403</v>
      </c>
      <c r="D740" s="1">
        <v>6</v>
      </c>
      <c r="E740" s="1" t="str">
        <f ca="1">IFERROR(__xludf.DUMMYFUNCTION("GOOGLETRANSLATE(E740, ""en"", ""ko"")"),"승마, 레이닝")</f>
        <v>승마, 레이닝</v>
      </c>
      <c r="M740" s="1"/>
      <c r="O740" s="1"/>
    </row>
    <row r="741" spans="1:15" ht="16.5" customHeight="1">
      <c r="A741" s="1">
        <v>739</v>
      </c>
      <c r="B741" s="1" t="str">
        <f ca="1">IFERROR(__xludf.DUMMYFUNCTION("GOOGLETRANSLATE(B741, ""en"", ""ko"")"),"스포츠")</f>
        <v>스포츠</v>
      </c>
      <c r="C741" s="1">
        <v>15406</v>
      </c>
      <c r="D741" s="1">
        <v>2.1</v>
      </c>
      <c r="E741" s="1" t="str">
        <f ca="1">IFERROR(__xludf.DUMMYFUNCTION("GOOGLETRANSLATE(E741, ""en"", ""ko"")"),"승마, 시뮬레이터")</f>
        <v>승마, 시뮬레이터</v>
      </c>
      <c r="M741" s="1"/>
      <c r="O741" s="1"/>
    </row>
    <row r="742" spans="1:15" ht="16.5" customHeight="1">
      <c r="A742" s="1">
        <v>740</v>
      </c>
      <c r="B742" s="1" t="str">
        <f ca="1">IFERROR(__xludf.DUMMYFUNCTION("GOOGLETRANSLATE(B742, ""en"", ""ko"")"),"스포츠")</f>
        <v>스포츠</v>
      </c>
      <c r="C742" s="1">
        <v>15408</v>
      </c>
      <c r="D742" s="1">
        <v>1.8</v>
      </c>
      <c r="E742" s="1" t="str">
        <f ca="1">IFERROR(__xludf.DUMMYFUNCTION("GOOGLETRANSLATE(E742, ""en"", ""ko"")"),"마차, 운전, 서 있거나 앉아 있음")</f>
        <v>마차, 운전, 서 있거나 앉아 있음</v>
      </c>
      <c r="M742" s="1"/>
      <c r="O742" s="1"/>
    </row>
    <row r="743" spans="1:15" ht="16.5" customHeight="1">
      <c r="A743" s="1">
        <v>741</v>
      </c>
      <c r="B743" s="1" t="str">
        <f ca="1">IFERROR(__xludf.DUMMYFUNCTION("GOOGLETRANSLATE(B743, ""en"", ""ko"")"),"스포츠")</f>
        <v>스포츠</v>
      </c>
      <c r="C743" s="1">
        <v>15410</v>
      </c>
      <c r="D743" s="1">
        <v>3</v>
      </c>
      <c r="E743" s="1" t="str">
        <f ca="1">IFERROR(__xludf.DUMMYFUNCTION("GOOGLETRANSLATE(E743, ""en"", ""ko"")"),"말굽 던지기, 쿼이트")</f>
        <v>말굽 던지기, 쿼이트</v>
      </c>
      <c r="M743" s="1"/>
      <c r="O743" s="1"/>
    </row>
    <row r="744" spans="1:15" ht="16.5" customHeight="1">
      <c r="A744" s="1">
        <v>742</v>
      </c>
      <c r="B744" s="1" t="str">
        <f ca="1">IFERROR(__xludf.DUMMYFUNCTION("GOOGLETRANSLATE(B744, ""en"", ""ko"")"),"스포츠")</f>
        <v>스포츠</v>
      </c>
      <c r="C744" s="1">
        <v>15420</v>
      </c>
      <c r="D744" s="1">
        <v>12</v>
      </c>
      <c r="E744" s="1" t="str">
        <f ca="1">IFERROR(__xludf.DUMMYFUNCTION("GOOGLETRANSLATE(E744, ""en"", ""ko"")"),"자이 알라이")</f>
        <v>자이 알라이</v>
      </c>
      <c r="M744" s="1"/>
      <c r="O744" s="1"/>
    </row>
    <row r="745" spans="1:15" ht="16.5" customHeight="1">
      <c r="A745" s="1">
        <v>743</v>
      </c>
      <c r="B745" s="1" t="str">
        <f ca="1">IFERROR(__xludf.DUMMYFUNCTION("GOOGLETRANSLATE(B745, ""en"", ""ko"")"),"스포츠")</f>
        <v>스포츠</v>
      </c>
      <c r="C745" s="1">
        <v>15425</v>
      </c>
      <c r="D745" s="1">
        <v>5.3</v>
      </c>
      <c r="E745" s="1" t="str">
        <f ca="1">IFERROR(__xludf.DUMMYFUNCTION("GOOGLETRANSLATE(E745, ""en"", ""ko"")"),"무술, 다양한 유형, 느린 속도, 초보 공연자, ​​연습")</f>
        <v>무술, 다양한 유형, 느린 속도, 초보 공연자, ​​연습</v>
      </c>
      <c r="M745" s="1"/>
      <c r="O745" s="1"/>
    </row>
    <row r="746" spans="1:15" ht="16.5" customHeight="1">
      <c r="A746" s="1">
        <v>744</v>
      </c>
      <c r="B746" s="1" t="str">
        <f ca="1">IFERROR(__xludf.DUMMYFUNCTION("GOOGLETRANSLATE(B746, ""en"", ""ko"")"),"스포츠")</f>
        <v>스포츠</v>
      </c>
      <c r="C746" s="1">
        <v>15430</v>
      </c>
      <c r="D746" s="1">
        <v>10.3</v>
      </c>
      <c r="E746" s="1" t="str">
        <f ca="1">IFERROR(__xludf.DUMMYFUNCTION("GOOGLETRANSLATE(E746, ""en"", ""ko"")"),"무술, 다양한 유형, 중간 속도(예: 유도, 주짓수, 가라테, 킥복싱, 태권도, 태권도, 무에타이)")</f>
        <v>무술, 다양한 유형, 중간 속도(예: 유도, 주짓수, 가라테, 킥복싱, 태권도, 태권도, 무에타이)</v>
      </c>
      <c r="M746" s="1"/>
      <c r="O746" s="1"/>
    </row>
    <row r="747" spans="1:15" ht="16.5" customHeight="1">
      <c r="A747" s="1">
        <v>745</v>
      </c>
      <c r="B747" s="1" t="str">
        <f ca="1">IFERROR(__xludf.DUMMYFUNCTION("GOOGLETRANSLATE(B747, ""en"", ""ko"")"),"스포츠")</f>
        <v>스포츠</v>
      </c>
      <c r="C747" s="1">
        <v>15432</v>
      </c>
      <c r="D747" s="1">
        <v>14.3</v>
      </c>
      <c r="E747" s="1" t="str">
        <f ca="1">IFERROR(__xludf.DUMMYFUNCTION("GOOGLETRANSLATE(E747, ""en"", ""ko"")"),"태권도, 격투 시뮬레이션")</f>
        <v>태권도, 격투 시뮬레이션</v>
      </c>
      <c r="M747" s="1"/>
      <c r="O747" s="1"/>
    </row>
    <row r="748" spans="1:15" ht="16.5" customHeight="1">
      <c r="A748" s="1">
        <v>746</v>
      </c>
      <c r="B748" s="1" t="str">
        <f ca="1">IFERROR(__xludf.DUMMYFUNCTION("GOOGLETRANSLATE(B748, ""en"", ""ko"")"),"스포츠")</f>
        <v>스포츠</v>
      </c>
      <c r="C748" s="1">
        <v>15433</v>
      </c>
      <c r="D748" s="1">
        <v>11.3</v>
      </c>
      <c r="E748" s="1" t="str">
        <f ca="1">IFERROR(__xludf.DUMMYFUNCTION("GOOGLETRANSLATE(E748, ""en"", ""ko"")"),"유도")</f>
        <v>유도</v>
      </c>
      <c r="M748" s="1"/>
      <c r="O748" s="1"/>
    </row>
    <row r="749" spans="1:15" ht="16.5" customHeight="1">
      <c r="A749" s="1">
        <v>747</v>
      </c>
      <c r="B749" s="1" t="str">
        <f ca="1">IFERROR(__xludf.DUMMYFUNCTION("GOOGLETRANSLATE(B749, ""en"", ""ko"")"),"스포츠")</f>
        <v>스포츠</v>
      </c>
      <c r="C749" s="1">
        <v>15440</v>
      </c>
      <c r="D749" s="1">
        <v>4</v>
      </c>
      <c r="E749" s="1" t="str">
        <f ca="1">IFERROR(__xludf.DUMMYFUNCTION("GOOGLETRANSLATE(E749, ""en"", ""ko"")"),"저글링")</f>
        <v>저글링</v>
      </c>
      <c r="M749" s="1"/>
      <c r="O749" s="1"/>
    </row>
    <row r="750" spans="1:15" ht="16.5" customHeight="1">
      <c r="A750" s="1">
        <v>748</v>
      </c>
      <c r="B750" s="1" t="str">
        <f ca="1">IFERROR(__xludf.DUMMYFUNCTION("GOOGLETRANSLATE(B750, ""en"", ""ko"")"),"스포츠")</f>
        <v>스포츠</v>
      </c>
      <c r="C750" s="1">
        <v>15444</v>
      </c>
      <c r="D750" s="1">
        <v>6.5</v>
      </c>
      <c r="E750" s="1" t="str">
        <f ca="1">IFERROR(__xludf.DUMMYFUNCTION("GOOGLETRANSLATE(E750, ""en"", ""ko"")"),"Kendu, Kihon-keiko 스타일, 적당한 강도")</f>
        <v>Kendu, Kihon-keiko 스타일, 적당한 강도</v>
      </c>
      <c r="M750" s="1"/>
      <c r="O750" s="1"/>
    </row>
    <row r="751" spans="1:15" ht="16.5" customHeight="1">
      <c r="A751" s="1">
        <v>749</v>
      </c>
      <c r="B751" s="1" t="str">
        <f ca="1">IFERROR(__xludf.DUMMYFUNCTION("GOOGLETRANSLATE(B751, ""en"", ""ko"")"),"스포츠")</f>
        <v>스포츠</v>
      </c>
      <c r="C751" s="1">
        <v>15445</v>
      </c>
      <c r="D751" s="1">
        <v>9.6</v>
      </c>
      <c r="E751" s="1" t="str">
        <f ca="1">IFERROR(__xludf.DUMMYFUNCTION("GOOGLETRANSLATE(E751, ""en"", ""ko"")"),"켄두, 키리카에시 스타일, 고강도")</f>
        <v>켄두, 키리카에시 스타일, 고강도</v>
      </c>
      <c r="M751" s="1"/>
      <c r="O751" s="1"/>
    </row>
    <row r="752" spans="1:15" ht="16.5" customHeight="1">
      <c r="A752" s="1">
        <v>750</v>
      </c>
      <c r="B752" s="1" t="str">
        <f ca="1">IFERROR(__xludf.DUMMYFUNCTION("GOOGLETRANSLATE(B752, ""en"", ""ko"")"),"스포츠")</f>
        <v>스포츠</v>
      </c>
      <c r="C752" s="1">
        <v>15446</v>
      </c>
      <c r="D752" s="1">
        <v>11.3</v>
      </c>
      <c r="E752" s="1" t="str">
        <f ca="1">IFERROR(__xludf.DUMMYFUNCTION("GOOGLETRANSLATE(E752, ""en"", ""ko"")"),"Kendu, kakari keiko 스타일, 매우 높은 강도")</f>
        <v>Kendu, kakari keiko 스타일, 매우 높은 강도</v>
      </c>
      <c r="M752" s="1"/>
      <c r="O752" s="1"/>
    </row>
    <row r="753" spans="1:15" ht="16.5" customHeight="1">
      <c r="A753" s="1">
        <v>751</v>
      </c>
      <c r="B753" s="1" t="str">
        <f ca="1">IFERROR(__xludf.DUMMYFUNCTION("GOOGLETRANSLATE(B753, ""en"", ""ko"")"),"스포츠")</f>
        <v>스포츠</v>
      </c>
      <c r="C753" s="1">
        <v>15450</v>
      </c>
      <c r="D753" s="1">
        <v>7</v>
      </c>
      <c r="E753" s="1" t="str">
        <f ca="1">IFERROR(__xludf.DUMMYFUNCTION("GOOGLETRANSLATE(E753, ""en"", ""ko"")"),"킥볼")</f>
        <v>킥볼</v>
      </c>
      <c r="M753" s="1"/>
      <c r="O753" s="1"/>
    </row>
    <row r="754" spans="1:15" ht="16.5" customHeight="1">
      <c r="A754" s="1">
        <v>752</v>
      </c>
      <c r="B754" s="1" t="str">
        <f ca="1">IFERROR(__xludf.DUMMYFUNCTION("GOOGLETRANSLATE(B754, ""en"", ""ko"")"),"스포츠")</f>
        <v>스포츠</v>
      </c>
      <c r="C754" s="1">
        <v>15455</v>
      </c>
      <c r="D754" s="1">
        <v>5.5</v>
      </c>
      <c r="E754" s="1" t="str">
        <f ca="1">IFERROR(__xludf.DUMMYFUNCTION("GOOGLETRANSLATE(E754, ""en"", ""ko"")"),"쿵푸 체조")</f>
        <v>쿵푸 체조</v>
      </c>
      <c r="M754" s="1"/>
      <c r="O754" s="1"/>
    </row>
    <row r="755" spans="1:15" ht="16.5" customHeight="1">
      <c r="A755" s="1">
        <v>753</v>
      </c>
      <c r="B755" s="1" t="str">
        <f ca="1">IFERROR(__xludf.DUMMYFUNCTION("GOOGLETRANSLATE(B755, ""en"", ""ko"")"),"스포츠")</f>
        <v>스포츠</v>
      </c>
      <c r="C755" s="1">
        <v>15457</v>
      </c>
      <c r="D755" s="1">
        <v>7.3</v>
      </c>
      <c r="E755" s="1" t="str">
        <f ca="1">IFERROR(__xludf.DUMMYFUNCTION("GOOGLETRANSLATE(E755, ""en"", ""ko"")"),"킥복싱")</f>
        <v>킥복싱</v>
      </c>
      <c r="M755" s="1"/>
      <c r="O755" s="1"/>
    </row>
    <row r="756" spans="1:15" ht="16.5" customHeight="1">
      <c r="A756" s="1">
        <v>754</v>
      </c>
      <c r="B756" s="1" t="str">
        <f ca="1">IFERROR(__xludf.DUMMYFUNCTION("GOOGLETRANSLATE(B756, ""en"", ""ko"")"),"스포츠")</f>
        <v>스포츠</v>
      </c>
      <c r="C756" s="1">
        <v>15460</v>
      </c>
      <c r="D756" s="1">
        <v>8</v>
      </c>
      <c r="E756" s="1" t="str">
        <f ca="1">IFERROR(__xludf.DUMMYFUNCTION("GOOGLETRANSLATE(E756, ""en"", ""ko"")"),"라크로스")</f>
        <v>라크로스</v>
      </c>
      <c r="M756" s="1"/>
      <c r="O756" s="1"/>
    </row>
    <row r="757" spans="1:15" ht="16.5" customHeight="1">
      <c r="A757" s="1">
        <v>755</v>
      </c>
      <c r="B757" s="1" t="str">
        <f ca="1">IFERROR(__xludf.DUMMYFUNCTION("GOOGLETRANSLATE(B757, ""en"", ""ko"")"),"스포츠")</f>
        <v>스포츠</v>
      </c>
      <c r="C757" s="1">
        <v>15465</v>
      </c>
      <c r="D757" s="1">
        <v>3.3</v>
      </c>
      <c r="E757" s="1" t="str">
        <f ca="1">IFERROR(__xludf.DUMMYFUNCTION("GOOGLETRANSLATE(E757, ""en"", ""ko"")"),"잔디 볼링, 보체볼, 야외")</f>
        <v>잔디 볼링, 보체볼, 야외</v>
      </c>
      <c r="M757" s="1"/>
      <c r="O757" s="1"/>
    </row>
    <row r="758" spans="1:15" ht="16.5" customHeight="1">
      <c r="A758" s="1">
        <v>756</v>
      </c>
      <c r="B758" s="1" t="str">
        <f ca="1">IFERROR(__xludf.DUMMYFUNCTION("GOOGLETRANSLATE(B758, ""en"", ""ko"")"),"스포츠")</f>
        <v>스포츠</v>
      </c>
      <c r="C758" s="1">
        <v>15470</v>
      </c>
      <c r="D758" s="1">
        <v>4</v>
      </c>
      <c r="E758" s="1" t="str">
        <f ca="1">IFERROR(__xludf.DUMMYFUNCTION("GOOGLETRANSLATE(E758, ""en"", ""ko"")"),"모터크로스, 오프로드 모터스포츠, 전지형차량, 일반")</f>
        <v>모터크로스, 오프로드 모터스포츠, 전지형차량, 일반</v>
      </c>
      <c r="M758" s="1"/>
      <c r="O758" s="1"/>
    </row>
    <row r="759" spans="1:15" ht="16.5" customHeight="1">
      <c r="A759" s="1">
        <v>757</v>
      </c>
      <c r="B759" s="1" t="str">
        <f ca="1">IFERROR(__xludf.DUMMYFUNCTION("GOOGLETRANSLATE(B759, ""en"", ""ko"")"),"스포츠")</f>
        <v>스포츠</v>
      </c>
      <c r="C759" s="1">
        <v>15475</v>
      </c>
      <c r="D759" s="1">
        <v>5.3</v>
      </c>
      <c r="E759" s="1" t="str">
        <f ca="1">IFERROR(__xludf.DUMMYFUNCTION("GOOGLETRANSLATE(E759, ""en"", ""ko"")"),"모터사이클 레이싱, 수포르모토 레이싱")</f>
        <v>모터사이클 레이싱, 수포르모토 레이싱</v>
      </c>
      <c r="M759" s="1"/>
      <c r="O759" s="1"/>
    </row>
    <row r="760" spans="1:15" ht="16.5" customHeight="1">
      <c r="A760" s="1">
        <v>758</v>
      </c>
      <c r="B760" s="1" t="str">
        <f ca="1">IFERROR(__xludf.DUMMYFUNCTION("GOOGLETRANSLATE(B760, ""en"", ""ko"")"),"스포츠")</f>
        <v>스포츠</v>
      </c>
      <c r="C760" s="1">
        <v>15477</v>
      </c>
      <c r="D760" s="1">
        <v>7</v>
      </c>
      <c r="E760" s="1" t="str">
        <f ca="1">IFERROR(__xludf.DUMMYFUNCTION("GOOGLETRANSLATE(E760, ""en"", ""ko"")"),"넷볼")</f>
        <v>넷볼</v>
      </c>
      <c r="M760" s="1"/>
      <c r="O760" s="1"/>
    </row>
    <row r="761" spans="1:15" ht="16.5" customHeight="1">
      <c r="A761" s="1">
        <v>759</v>
      </c>
      <c r="B761" s="1" t="str">
        <f ca="1">IFERROR(__xludf.DUMMYFUNCTION("GOOGLETRANSLATE(B761, ""en"", ""ko"")"),"스포츠")</f>
        <v>스포츠</v>
      </c>
      <c r="C761" s="1">
        <v>15480</v>
      </c>
      <c r="D761" s="1">
        <v>9</v>
      </c>
      <c r="E761" s="1" t="str">
        <f ca="1">IFERROR(__xludf.DUMMYFUNCTION("GOOGLETRANSLATE(E761, ""en"", ""ko"")"),"오리엔티어링")</f>
        <v>오리엔티어링</v>
      </c>
      <c r="M761" s="1"/>
      <c r="O761" s="1"/>
    </row>
    <row r="762" spans="1:15" ht="16.5" customHeight="1">
      <c r="A762" s="1">
        <v>760</v>
      </c>
      <c r="B762" s="1" t="str">
        <f ca="1">IFERROR(__xludf.DUMMYFUNCTION("GOOGLETRANSLATE(B762, ""en"", ""ko"")"),"스포츠")</f>
        <v>스포츠</v>
      </c>
      <c r="C762" s="1">
        <v>15490</v>
      </c>
      <c r="D762" s="1">
        <v>10</v>
      </c>
      <c r="E762" s="1" t="str">
        <f ca="1">IFERROR(__xludf.DUMMYFUNCTION("GOOGLETRANSLATE(E762, ""en"", ""ko"")"),"패들볼, 경쟁")</f>
        <v>패들볼, 경쟁</v>
      </c>
      <c r="M762" s="1"/>
      <c r="O762" s="1"/>
    </row>
    <row r="763" spans="1:15" ht="16.5" customHeight="1">
      <c r="A763" s="1">
        <v>761</v>
      </c>
      <c r="B763" s="1" t="str">
        <f ca="1">IFERROR(__xludf.DUMMYFUNCTION("GOOGLETRANSLATE(B763, ""en"", ""ko"")"),"스포츠")</f>
        <v>스포츠</v>
      </c>
      <c r="C763" s="1">
        <v>15500</v>
      </c>
      <c r="D763" s="1">
        <v>6</v>
      </c>
      <c r="E763" s="1" t="str">
        <f ca="1">IFERROR(__xludf.DUMMYFUNCTION("GOOGLETRANSLATE(E763, ""en"", ""ko"")"),"패들볼, 캐주얼, 일반")</f>
        <v>패들볼, 캐주얼, 일반</v>
      </c>
      <c r="M763" s="1"/>
      <c r="O763" s="1"/>
    </row>
    <row r="764" spans="1:15" ht="16.5" customHeight="1">
      <c r="A764" s="1">
        <v>762</v>
      </c>
      <c r="B764" s="1" t="str">
        <f ca="1">IFERROR(__xludf.DUMMYFUNCTION("GOOGLETRANSLATE(B764, ""en"", ""ko"")"),"스포츠")</f>
        <v>스포츠</v>
      </c>
      <c r="C764" s="1">
        <v>15503</v>
      </c>
      <c r="D764" s="1">
        <v>1.8</v>
      </c>
      <c r="E764" s="1" t="str">
        <f ca="1">IFERROR(__xludf.DUMMYFUNCTION("GOOGLETRANSLATE(E764, ""en"", ""ko"")"),"패러글라이딩, 중간 고도")</f>
        <v>패러글라이딩, 중간 고도</v>
      </c>
      <c r="M764" s="1"/>
      <c r="O764" s="1"/>
    </row>
    <row r="765" spans="1:15" ht="16.5" customHeight="1">
      <c r="A765" s="1">
        <v>763</v>
      </c>
      <c r="B765" s="1" t="str">
        <f ca="1">IFERROR(__xludf.DUMMYFUNCTION("GOOGLETRANSLATE(B765, ""en"", ""ko"")"),"스포츠")</f>
        <v>스포츠</v>
      </c>
      <c r="C765" s="1">
        <v>15506</v>
      </c>
      <c r="D765" s="1">
        <v>6.5</v>
      </c>
      <c r="E765" s="1" t="str">
        <f ca="1">IFERROR(__xludf.DUMMYFUNCTION("GOOGLETRANSLATE(E765, ""en"", ""ko"")"),"프루식 등반")</f>
        <v>프루식 등반</v>
      </c>
      <c r="M765" s="1"/>
      <c r="O765" s="1"/>
    </row>
    <row r="766" spans="1:15" ht="16.5" customHeight="1">
      <c r="A766" s="1">
        <v>764</v>
      </c>
      <c r="B766" s="1" t="str">
        <f ca="1">IFERROR(__xludf.DUMMYFUNCTION("GOOGLETRANSLATE(B766, ""en"", ""ko"")"),"스포츠")</f>
        <v>스포츠</v>
      </c>
      <c r="C766" s="1">
        <v>15510</v>
      </c>
      <c r="D766" s="1">
        <v>8</v>
      </c>
      <c r="E766" s="1" t="str">
        <f ca="1">IFERROR(__xludf.DUMMYFUNCTION("GOOGLETRANSLATE(E766, ""en"", ""ko"")"),"폴로, 말을 타고")</f>
        <v>폴로, 말을 타고</v>
      </c>
      <c r="M766" s="1"/>
      <c r="O766" s="1"/>
    </row>
    <row r="767" spans="1:15" ht="16.5" customHeight="1">
      <c r="A767" s="1">
        <v>765</v>
      </c>
      <c r="B767" s="1" t="str">
        <f ca="1">IFERROR(__xludf.DUMMYFUNCTION("GOOGLETRANSLATE(B767, ""en"", ""ko"")"),"스포츠")</f>
        <v>스포츠</v>
      </c>
      <c r="C767" s="1">
        <v>15520</v>
      </c>
      <c r="D767" s="1">
        <v>10</v>
      </c>
      <c r="E767" s="1" t="str">
        <f ca="1">IFERROR(__xludf.DUMMYFUNCTION("GOOGLETRANSLATE(E767, ""en"", ""ko"")"),"라켓볼, 경쟁")</f>
        <v>라켓볼, 경쟁</v>
      </c>
      <c r="M767" s="1"/>
      <c r="O767" s="1"/>
    </row>
    <row r="768" spans="1:15" ht="16.5" customHeight="1">
      <c r="A768" s="1">
        <v>766</v>
      </c>
      <c r="B768" s="1" t="str">
        <f ca="1">IFERROR(__xludf.DUMMYFUNCTION("GOOGLETRANSLATE(B768, ""en"", ""ko"")"),"스포츠")</f>
        <v>스포츠</v>
      </c>
      <c r="C768" s="1">
        <v>15525</v>
      </c>
      <c r="D768" s="1">
        <v>10.3</v>
      </c>
      <c r="E768" s="1" t="str">
        <f ca="1">IFERROR(__xludf.DUMMYFUNCTION("GOOGLETRANSLATE(E768, ""en"", ""ko"")"),"경보, 3.1m/s(6.9mph)")</f>
        <v>경보, 3.1m/s(6.9mph)</v>
      </c>
      <c r="M768" s="1"/>
      <c r="O768" s="1"/>
    </row>
    <row r="769" spans="1:15" ht="16.5" customHeight="1">
      <c r="A769" s="1">
        <v>767</v>
      </c>
      <c r="B769" s="1" t="str">
        <f ca="1">IFERROR(__xludf.DUMMYFUNCTION("GOOGLETRANSLATE(B769, ""en"", ""ko"")"),"스포츠")</f>
        <v>스포츠</v>
      </c>
      <c r="C769" s="1">
        <v>15527</v>
      </c>
      <c r="D769" s="1">
        <v>13.8</v>
      </c>
      <c r="E769" s="1" t="str">
        <f ca="1">IFERROR(__xludf.DUMMYFUNCTION("GOOGLETRANSLATE(E769, ""en"", ""ko"")"),"경보, 3.7m/s(8.3mph)")</f>
        <v>경보, 3.7m/s(8.3mph)</v>
      </c>
      <c r="M769" s="1"/>
      <c r="O769" s="1"/>
    </row>
    <row r="770" spans="1:15" ht="16.5" customHeight="1">
      <c r="A770" s="1">
        <v>768</v>
      </c>
      <c r="B770" s="1" t="str">
        <f ca="1">IFERROR(__xludf.DUMMYFUNCTION("GOOGLETRANSLATE(B770, ""en"", ""ko"")"),"스포츠")</f>
        <v>스포츠</v>
      </c>
      <c r="C770" s="1">
        <v>15528</v>
      </c>
      <c r="D770" s="1">
        <v>15.5</v>
      </c>
      <c r="E770" s="1" t="str">
        <f ca="1">IFERROR(__xludf.DUMMYFUNCTION("GOOGLETRANSLATE(E770, ""en"", ""ko"")"),"경보, 경주 속도, 4.0m/s(8.95mph)")</f>
        <v>경보, 경주 속도, 4.0m/s(8.95mph)</v>
      </c>
      <c r="M770" s="1"/>
      <c r="O770" s="1"/>
    </row>
    <row r="771" spans="1:15" ht="16.5" customHeight="1">
      <c r="A771" s="1">
        <v>769</v>
      </c>
      <c r="B771" s="1" t="str">
        <f ca="1">IFERROR(__xludf.DUMMYFUNCTION("GOOGLETRANSLATE(B771, ""en"", ""ko"")"),"스포츠")</f>
        <v>스포츠</v>
      </c>
      <c r="C771" s="1">
        <v>15530</v>
      </c>
      <c r="D771" s="1">
        <v>7</v>
      </c>
      <c r="E771" s="1" t="str">
        <f ca="1">IFERROR(__xludf.DUMMYFUNCTION("GOOGLETRANSLATE(E771, ""en"", ""ko"")"),"라켓볼, 일반")</f>
        <v>라켓볼, 일반</v>
      </c>
      <c r="M771" s="1"/>
      <c r="O771" s="1"/>
    </row>
    <row r="772" spans="1:15" ht="16.5" customHeight="1">
      <c r="A772" s="1">
        <v>770</v>
      </c>
      <c r="B772" s="1" t="str">
        <f ca="1">IFERROR(__xludf.DUMMYFUNCTION("GOOGLETRANSLATE(B772, ""en"", ""ko"")"),"스포츠")</f>
        <v>스포츠</v>
      </c>
      <c r="C772" s="1">
        <v>15533</v>
      </c>
      <c r="D772" s="1">
        <v>8</v>
      </c>
      <c r="E772" s="1" t="str">
        <f ca="1">IFERROR(__xludf.DUMMYFUNCTION("GOOGLETRANSLATE(E772, ""en"", ""ko"")"),"암벽 등반 또는 산악 등반")</f>
        <v>암벽 등반 또는 산악 등반</v>
      </c>
      <c r="M772" s="1"/>
      <c r="O772" s="1"/>
    </row>
    <row r="773" spans="1:15" ht="16.5" customHeight="1">
      <c r="A773" s="1">
        <v>771</v>
      </c>
      <c r="B773" s="1" t="str">
        <f ca="1">IFERROR(__xludf.DUMMYFUNCTION("GOOGLETRANSLATE(B773, ""en"", ""ko"")"),"스포츠")</f>
        <v>스포츠</v>
      </c>
      <c r="C773" s="1">
        <v>15534</v>
      </c>
      <c r="D773" s="1">
        <v>8.8000000000000007</v>
      </c>
      <c r="E773" s="1" t="str">
        <f ca="1">IFERROR(__xludf.DUMMYFUNCTION("GOOGLETRANSLATE(E773, ""en"", ""ko"")"),"암벽 등반, 무료 볼더링")</f>
        <v>암벽 등반, 무료 볼더링</v>
      </c>
      <c r="M773" s="1"/>
      <c r="O773" s="1"/>
    </row>
    <row r="774" spans="1:15" ht="16.5" customHeight="1">
      <c r="A774" s="1">
        <v>772</v>
      </c>
      <c r="B774" s="1" t="str">
        <f ca="1">IFERROR(__xludf.DUMMYFUNCTION("GOOGLETRANSLATE(B774, ""en"", ""ko"")"),"스포츠")</f>
        <v>스포츠</v>
      </c>
      <c r="C774" s="1">
        <v>15535</v>
      </c>
      <c r="D774" s="1">
        <v>7.3</v>
      </c>
      <c r="E774" s="1" t="str">
        <f ca="1">IFERROR(__xludf.DUMMYFUNCTION("GOOGLETRANSLATE(E774, ""en"", ""ko"")"),"암벽등반, 암벽등반, 난이도 높음")</f>
        <v>암벽등반, 암벽등반, 난이도 높음</v>
      </c>
      <c r="M774" s="1"/>
      <c r="O774" s="1"/>
    </row>
    <row r="775" spans="1:15" ht="16.5" customHeight="1">
      <c r="A775" s="1">
        <v>773</v>
      </c>
      <c r="B775" s="1" t="str">
        <f ca="1">IFERROR(__xludf.DUMMYFUNCTION("GOOGLETRANSLATE(B775, ""en"", ""ko"")"),"스포츠")</f>
        <v>스포츠</v>
      </c>
      <c r="C775" s="1">
        <v>15536</v>
      </c>
      <c r="D775" s="1">
        <v>10.5</v>
      </c>
      <c r="E775" s="1" t="str">
        <f ca="1">IFERROR(__xludf.DUMMYFUNCTION("GOOGLETRANSLATE(E775, ""en"", ""ko"")"),"암벽등반, 스피드 클라이밍, 매우 어려움")</f>
        <v>암벽등반, 스피드 클라이밍, 매우 어려움</v>
      </c>
      <c r="M775" s="1"/>
      <c r="O775" s="1"/>
    </row>
    <row r="776" spans="1:15" ht="16.5" customHeight="1">
      <c r="A776" s="1">
        <v>774</v>
      </c>
      <c r="B776" s="1" t="str">
        <f ca="1">IFERROR(__xludf.DUMMYFUNCTION("GOOGLETRANSLATE(B776, ""en"", ""ko"")"),"스포츠")</f>
        <v>스포츠</v>
      </c>
      <c r="C776" s="1">
        <v>15537</v>
      </c>
      <c r="D776" s="1">
        <v>5.8</v>
      </c>
      <c r="E776" s="1" t="str">
        <f ca="1">IFERROR(__xludf.DUMMYFUNCTION("GOOGLETRANSLATE(E776, ""en"", ""ko"")"),"암벽 등반, 암벽 오르기 또는 횡단, 난이도 낮음~중간")</f>
        <v>암벽 등반, 암벽 오르기 또는 횡단, 난이도 낮음~중간</v>
      </c>
      <c r="M776" s="1"/>
      <c r="O776" s="1"/>
    </row>
    <row r="777" spans="1:15" ht="16.5" customHeight="1">
      <c r="A777" s="1">
        <v>775</v>
      </c>
      <c r="B777" s="1" t="str">
        <f ca="1">IFERROR(__xludf.DUMMYFUNCTION("GOOGLETRANSLATE(B777, ""en"", ""ko"")"),"스포츠")</f>
        <v>스포츠</v>
      </c>
      <c r="C777" s="1">
        <v>15538</v>
      </c>
      <c r="D777" s="1">
        <v>10.5</v>
      </c>
      <c r="E777" s="1" t="str">
        <f ca="1">IFERROR(__xludf.DUMMYFUNCTION("GOOGLETRANSLATE(E777, ""en"", ""ko"")"),"암벽등반, 트레드월, 4-6m/분")</f>
        <v>암벽등반, 트레드월, 4-6m/분</v>
      </c>
      <c r="M777" s="1"/>
      <c r="O777" s="1"/>
    </row>
    <row r="778" spans="1:15" ht="16.5" customHeight="1">
      <c r="A778" s="1">
        <v>776</v>
      </c>
      <c r="B778" s="1" t="str">
        <f ca="1">IFERROR(__xludf.DUMMYFUNCTION("GOOGLETRANSLATE(B778, ""en"", ""ko"")"),"스포츠")</f>
        <v>스포츠</v>
      </c>
      <c r="C778" s="1">
        <v>15539</v>
      </c>
      <c r="D778" s="1">
        <v>10.5</v>
      </c>
      <c r="E778" s="1" t="str">
        <f ca="1">IFERROR(__xludf.DUMMYFUNCTION("GOOGLETRANSLATE(E778, ""en"", ""ko"")"),"암벽등반, 트레드월, 7-10m/분")</f>
        <v>암벽등반, 트레드월, 7-10m/분</v>
      </c>
      <c r="M778" s="1"/>
      <c r="O778" s="1"/>
    </row>
    <row r="779" spans="1:15" ht="16.5" customHeight="1">
      <c r="A779" s="1">
        <v>777</v>
      </c>
      <c r="B779" s="1" t="str">
        <f ca="1">IFERROR(__xludf.DUMMYFUNCTION("GOOGLETRANSLATE(B779, ""en"", ""ko"")"),"스포츠")</f>
        <v>스포츠</v>
      </c>
      <c r="C779" s="1">
        <v>15540</v>
      </c>
      <c r="D779" s="1">
        <v>5</v>
      </c>
      <c r="E779" s="1" t="str">
        <f ca="1">IFERROR(__xludf.DUMMYFUNCTION("GOOGLETRANSLATE(E779, ""en"", ""ko"")"),"암벽 등반, 래펠링,")</f>
        <v>암벽 등반, 래펠링,</v>
      </c>
      <c r="M779" s="1"/>
      <c r="O779" s="1"/>
    </row>
    <row r="780" spans="1:15" ht="16.5" customHeight="1">
      <c r="A780" s="1">
        <v>778</v>
      </c>
      <c r="B780" s="1" t="str">
        <f ca="1">IFERROR(__xludf.DUMMYFUNCTION("GOOGLETRANSLATE(B780, ""en"", ""ko"")"),"스포츠")</f>
        <v>스포츠</v>
      </c>
      <c r="C780" s="1">
        <v>15542</v>
      </c>
      <c r="D780" s="1">
        <v>4</v>
      </c>
      <c r="E780" s="1" t="str">
        <f ca="1">IFERROR(__xludf.DUMMYFUNCTION("GOOGLETRANSLATE(E780, ""en"", ""ko"")"),"로데오 스포츠, 일반, 가벼운 노력")</f>
        <v>로데오 스포츠, 일반, 가벼운 노력</v>
      </c>
      <c r="M780" s="1"/>
      <c r="O780" s="1"/>
    </row>
    <row r="781" spans="1:15" ht="16.5" customHeight="1">
      <c r="A781" s="1">
        <v>779</v>
      </c>
      <c r="B781" s="1" t="str">
        <f ca="1">IFERROR(__xludf.DUMMYFUNCTION("GOOGLETRANSLATE(B781, ""en"", ""ko"")"),"스포츠")</f>
        <v>스포츠</v>
      </c>
      <c r="C781" s="1">
        <v>15544</v>
      </c>
      <c r="D781" s="1">
        <v>5.5</v>
      </c>
      <c r="E781" s="1" t="str">
        <f ca="1">IFERROR(__xludf.DUMMYFUNCTION("GOOGLETRANSLATE(E781, ""en"", ""ko"")"),"로데오 스포츠, 일반, 중간 노력")</f>
        <v>로데오 스포츠, 일반, 중간 노력</v>
      </c>
      <c r="M781" s="1"/>
      <c r="O781" s="1"/>
    </row>
    <row r="782" spans="1:15" ht="16.5" customHeight="1">
      <c r="A782" s="1">
        <v>780</v>
      </c>
      <c r="B782" s="1" t="str">
        <f ca="1">IFERROR(__xludf.DUMMYFUNCTION("GOOGLETRANSLATE(B782, ""en"", ""ko"")"),"스포츠")</f>
        <v>스포츠</v>
      </c>
      <c r="C782" s="1">
        <v>15546</v>
      </c>
      <c r="D782" s="1">
        <v>7</v>
      </c>
      <c r="E782" s="1" t="str">
        <f ca="1">IFERROR(__xludf.DUMMYFUNCTION("GOOGLETRANSLATE(E782, ""en"", ""ko"")"),"로데오 스포츠, 일반, 활발한 노력")</f>
        <v>로데오 스포츠, 일반, 활발한 노력</v>
      </c>
      <c r="M782" s="1"/>
      <c r="O782" s="1"/>
    </row>
    <row r="783" spans="1:15" ht="16.5" customHeight="1">
      <c r="A783" s="1">
        <v>781</v>
      </c>
      <c r="B783" s="1" t="str">
        <f ca="1">IFERROR(__xludf.DUMMYFUNCTION("GOOGLETRANSLATE(B783, ""en"", ""ko"")"),"스포츠")</f>
        <v>스포츠</v>
      </c>
      <c r="C783" s="1">
        <v>15550</v>
      </c>
      <c r="D783" s="1">
        <v>12.3</v>
      </c>
      <c r="E783" s="1" t="str">
        <f ca="1">IFERROR(__xludf.DUMMYFUNCTION("GOOGLETRANSLATE(E783, ""en"", ""ko"")"),"로프 점프, 빠른 속도, 120-160회/분")</f>
        <v>로프 점프, 빠른 속도, 120-160회/분</v>
      </c>
      <c r="M783" s="1"/>
      <c r="O783" s="1"/>
    </row>
    <row r="784" spans="1:15" ht="16.5" customHeight="1">
      <c r="A784" s="1">
        <v>782</v>
      </c>
      <c r="B784" s="1" t="str">
        <f ca="1">IFERROR(__xludf.DUMMYFUNCTION("GOOGLETRANSLATE(B784, ""en"", ""ko"")"),"스포츠")</f>
        <v>스포츠</v>
      </c>
      <c r="C784" s="1">
        <v>15551</v>
      </c>
      <c r="D784" s="1">
        <v>11.8</v>
      </c>
      <c r="E784" s="1" t="str">
        <f ca="1">IFERROR(__xludf.DUMMYFUNCTION("GOOGLETRANSLATE(E784, ""en"", ""ko"")"),"로프 점프, 중간 속도, 일반, 100~120회/분, 2피트 스킵, 일반 바운스")</f>
        <v>로프 점프, 중간 속도, 일반, 100~120회/분, 2피트 스킵, 일반 바운스</v>
      </c>
      <c r="M784" s="1"/>
      <c r="O784" s="1"/>
    </row>
    <row r="785" spans="1:15" ht="16.5" customHeight="1">
      <c r="A785" s="1">
        <v>783</v>
      </c>
      <c r="B785" s="1" t="str">
        <f ca="1">IFERROR(__xludf.DUMMYFUNCTION("GOOGLETRANSLATE(B785, ""en"", ""ko"")"),"스포츠")</f>
        <v>스포츠</v>
      </c>
      <c r="C785" s="1">
        <v>15552</v>
      </c>
      <c r="D785" s="1">
        <v>8.3000000000000007</v>
      </c>
      <c r="E785" s="1" t="str">
        <f ca="1">IFERROR(__xludf.DUMMYFUNCTION("GOOGLETRANSLATE(E785, ""en"", ""ko"")"),"로프 점프, 느린 속도, &lt; 100회/분, 2피트 점프, 리듬 바운스")</f>
        <v>로프 점프, 느린 속도, &lt; 100회/분, 2피트 점프, 리듬 바운스</v>
      </c>
      <c r="M785" s="1"/>
      <c r="O785" s="1"/>
    </row>
    <row r="786" spans="1:15" ht="16.5" customHeight="1">
      <c r="A786" s="1">
        <v>784</v>
      </c>
      <c r="B786" s="1" t="str">
        <f ca="1">IFERROR(__xludf.DUMMYFUNCTION("GOOGLETRANSLATE(B786, ""en"", ""ko"")"),"스포츠")</f>
        <v>스포츠</v>
      </c>
      <c r="C786" s="1">
        <v>15554</v>
      </c>
      <c r="D786" s="1">
        <v>10</v>
      </c>
      <c r="E786" s="1" t="str">
        <f ca="1">IFERROR(__xludf.DUMMYFUNCTION("GOOGLETRANSLATE(E786, ""en"", ""ko"")"),"로프 점프, 더블 언더 또는 그 이상")</f>
        <v>로프 점프, 더블 언더 또는 그 이상</v>
      </c>
      <c r="M786" s="1"/>
      <c r="O786" s="1"/>
    </row>
    <row r="787" spans="1:15" ht="16.5" customHeight="1">
      <c r="A787" s="1">
        <v>785</v>
      </c>
      <c r="B787" s="1" t="str">
        <f ca="1">IFERROR(__xludf.DUMMYFUNCTION("GOOGLETRANSLATE(B787, ""en"", ""ko"")"),"스포츠")</f>
        <v>스포츠</v>
      </c>
      <c r="C787" s="1">
        <v>15560</v>
      </c>
      <c r="D787" s="1">
        <v>8.3000000000000007</v>
      </c>
      <c r="E787" s="1" t="str">
        <f ca="1">IFERROR(__xludf.DUMMYFUNCTION("GOOGLETRANSLATE(E787, ""en"", ""ko"")"),"럭비, 유니온, 팀, 경쟁")</f>
        <v>럭비, 유니온, 팀, 경쟁</v>
      </c>
      <c r="M787" s="1"/>
      <c r="O787" s="1"/>
    </row>
    <row r="788" spans="1:15" ht="16.5" customHeight="1">
      <c r="A788" s="1">
        <v>786</v>
      </c>
      <c r="B788" s="1" t="str">
        <f ca="1">IFERROR(__xludf.DUMMYFUNCTION("GOOGLETRANSLATE(B788, ""en"", ""ko"")"),"스포츠")</f>
        <v>스포츠</v>
      </c>
      <c r="C788" s="1">
        <v>15562</v>
      </c>
      <c r="D788" s="1">
        <v>6.3</v>
      </c>
      <c r="E788" s="1" t="str">
        <f ca="1">IFERROR(__xludf.DUMMYFUNCTION("GOOGLETRANSLATE(E788, ""en"", ""ko"")"),"럭비, 터치, 비경쟁적")</f>
        <v>럭비, 터치, 비경쟁적</v>
      </c>
      <c r="M788" s="1"/>
      <c r="O788" s="1"/>
    </row>
    <row r="789" spans="1:15" ht="16.5" customHeight="1">
      <c r="A789" s="1">
        <v>787</v>
      </c>
      <c r="B789" s="1" t="str">
        <f ca="1">IFERROR(__xludf.DUMMYFUNCTION("GOOGLETRANSLATE(B789, ""en"", ""ko"")"),"스포츠")</f>
        <v>스포츠</v>
      </c>
      <c r="C789" s="1">
        <v>15570</v>
      </c>
      <c r="D789" s="1">
        <v>3</v>
      </c>
      <c r="E789" s="1" t="str">
        <f ca="1">IFERROR(__xludf.DUMMYFUNCTION("GOOGLETRANSLATE(E789, ""en"", ""ko"")"),"셔플보드")</f>
        <v>셔플보드</v>
      </c>
      <c r="M789" s="1"/>
      <c r="O789" s="1"/>
    </row>
    <row r="790" spans="1:15" ht="16.5" customHeight="1">
      <c r="A790" s="1">
        <v>788</v>
      </c>
      <c r="B790" s="1" t="str">
        <f ca="1">IFERROR(__xludf.DUMMYFUNCTION("GOOGLETRANSLATE(B790, ""en"", ""ko"")"),"스포츠")</f>
        <v>스포츠</v>
      </c>
      <c r="C790" s="1">
        <v>15580</v>
      </c>
      <c r="D790" s="1">
        <v>5</v>
      </c>
      <c r="E790" s="1" t="str">
        <f ca="1">IFERROR(__xludf.DUMMYFUNCTION("GOOGLETRANSLATE(E790, ""en"", ""ko"")"),"스케이트보딩, 일반, 중간 강도")</f>
        <v>스케이트보딩, 일반, 중간 강도</v>
      </c>
      <c r="M790" s="1"/>
      <c r="O790" s="1"/>
    </row>
    <row r="791" spans="1:15" ht="16.5" customHeight="1">
      <c r="A791" s="1">
        <v>789</v>
      </c>
      <c r="B791" s="1" t="str">
        <f ca="1">IFERROR(__xludf.DUMMYFUNCTION("GOOGLETRANSLATE(B791, ""en"", ""ko"")"),"스포츠")</f>
        <v>스포츠</v>
      </c>
      <c r="C791" s="1">
        <v>15582</v>
      </c>
      <c r="D791" s="1">
        <v>6</v>
      </c>
      <c r="E791" s="1" t="str">
        <f ca="1">IFERROR(__xludf.DUMMYFUNCTION("GOOGLETRANSLATE(E791, ""en"", ""ko"")"),"스케이트보딩, 경쟁심, 활발한 노력")</f>
        <v>스케이트보딩, 경쟁심, 활발한 노력</v>
      </c>
      <c r="M791" s="1"/>
      <c r="O791" s="1"/>
    </row>
    <row r="792" spans="1:15" ht="16.5" customHeight="1">
      <c r="A792" s="1">
        <v>790</v>
      </c>
      <c r="B792" s="1" t="str">
        <f ca="1">IFERROR(__xludf.DUMMYFUNCTION("GOOGLETRANSLATE(B792, ""en"", ""ko"")"),"스포츠")</f>
        <v>스포츠</v>
      </c>
      <c r="C792" s="1">
        <v>15590</v>
      </c>
      <c r="D792" s="1">
        <v>7</v>
      </c>
      <c r="E792" s="1" t="str">
        <f ca="1">IFERROR(__xludf.DUMMYFUNCTION("GOOGLETRANSLATE(E792, ""en"", ""ko"")"),"스케이팅, 롤러")</f>
        <v>스케이팅, 롤러</v>
      </c>
      <c r="M792" s="1"/>
      <c r="O792" s="1"/>
    </row>
    <row r="793" spans="1:15" ht="16.5" customHeight="1">
      <c r="A793" s="1">
        <v>791</v>
      </c>
      <c r="B793" s="1" t="str">
        <f ca="1">IFERROR(__xludf.DUMMYFUNCTION("GOOGLETRANSLATE(B793, ""en"", ""ko"")"),"스포츠")</f>
        <v>스포츠</v>
      </c>
      <c r="C793" s="1">
        <v>15591</v>
      </c>
      <c r="D793" s="1">
        <v>7.5</v>
      </c>
      <c r="E793" s="1" t="str">
        <f ca="1">IFERROR(__xludf.DUMMYFUNCTION("GOOGLETRANSLATE(E793, ""en"", ""ko"")"),"롤러블레이딩, 인라인스케이팅, 14.4km/h(9.0mph), 레크리에이션 페이스")</f>
        <v>롤러블레이딩, 인라인스케이팅, 14.4km/h(9.0mph), 레크리에이션 페이스</v>
      </c>
      <c r="M793" s="1"/>
      <c r="O793" s="1"/>
    </row>
    <row r="794" spans="1:15" ht="16.5" customHeight="1">
      <c r="A794" s="1">
        <v>792</v>
      </c>
      <c r="B794" s="1" t="str">
        <f ca="1">IFERROR(__xludf.DUMMYFUNCTION("GOOGLETRANSLATE(B794, ""en"", ""ko"")"),"스포츠")</f>
        <v>스포츠</v>
      </c>
      <c r="C794" s="1">
        <v>15592</v>
      </c>
      <c r="D794" s="1">
        <v>9.8000000000000007</v>
      </c>
      <c r="E794" s="1" t="str">
        <f ca="1">IFERROR(__xludf.DUMMYFUNCTION("GOOGLETRANSLATE(E794, ""en"", ""ko"")"),"롤러블레이딩, 인라인스케이팅, 17.7km/h(11.0mph), 중간 속도, 운동 훈련")</f>
        <v>롤러블레이딩, 인라인스케이팅, 17.7km/h(11.0mph), 중간 속도, 운동 훈련</v>
      </c>
      <c r="M794" s="1"/>
      <c r="O794" s="1"/>
    </row>
    <row r="795" spans="1:15" ht="16.5" customHeight="1">
      <c r="A795" s="1">
        <v>793</v>
      </c>
      <c r="B795" s="1" t="str">
        <f ca="1">IFERROR(__xludf.DUMMYFUNCTION("GOOGLETRANSLATE(B795, ""en"", ""ko"")"),"스포츠")</f>
        <v>스포츠</v>
      </c>
      <c r="C795" s="1">
        <v>15593</v>
      </c>
      <c r="D795" s="1">
        <v>12.3</v>
      </c>
      <c r="E795" s="1" t="str">
        <f ca="1">IFERROR(__xludf.DUMMYFUNCTION("GOOGLETRANSLATE(E795, ""en"", ""ko"")"),"롤러블레이딩, 인라인스케이팅, 21.0~21.7km/h(13.0~13.6mph), 빠른 페이스, 운동 훈련")</f>
        <v>롤러블레이딩, 인라인스케이팅, 21.0~21.7km/h(13.0~13.6mph), 빠른 페이스, 운동 훈련</v>
      </c>
      <c r="M795" s="1"/>
      <c r="O795" s="1"/>
    </row>
    <row r="796" spans="1:15" ht="16.5" customHeight="1">
      <c r="A796" s="1">
        <v>794</v>
      </c>
      <c r="B796" s="1" t="str">
        <f ca="1">IFERROR(__xludf.DUMMYFUNCTION("GOOGLETRANSLATE(B796, ""en"", ""ko"")"),"스포츠")</f>
        <v>스포츠</v>
      </c>
      <c r="C796" s="1">
        <v>15594</v>
      </c>
      <c r="D796" s="1">
        <v>15.5</v>
      </c>
      <c r="E796" s="1" t="str">
        <f ca="1">IFERROR(__xludf.DUMMYFUNCTION("GOOGLETRANSLATE(E796, ""en"", ""ko"")"),"롤러블레이딩, 인라인스케이팅, 24.0km/h(15.0mph), 최대 노력")</f>
        <v>롤러블레이딩, 인라인스케이팅, 24.0km/h(15.0mph), 최대 노력</v>
      </c>
      <c r="M796" s="1"/>
      <c r="O796" s="1"/>
    </row>
    <row r="797" spans="1:15" ht="16.5" customHeight="1">
      <c r="A797" s="1">
        <v>795</v>
      </c>
      <c r="B797" s="1" t="str">
        <f ca="1">IFERROR(__xludf.DUMMYFUNCTION("GOOGLETRANSLATE(B797, ""en"", ""ko"")"),"스포츠")</f>
        <v>스포츠</v>
      </c>
      <c r="C797" s="1">
        <v>15595</v>
      </c>
      <c r="D797" s="1">
        <v>6.8</v>
      </c>
      <c r="E797" s="1" t="str">
        <f ca="1">IFERROR(__xludf.DUMMYFUNCTION("GOOGLETRANSLATE(E797, ""en"", ""ko"")"),"스케이트보드, 롱보드, 13.3km/h, 느린 속도")</f>
        <v>스케이트보드, 롱보드, 13.3km/h, 느린 속도</v>
      </c>
      <c r="M797" s="1"/>
      <c r="O797" s="1"/>
    </row>
    <row r="798" spans="1:15" ht="16.5" customHeight="1">
      <c r="A798" s="1">
        <v>796</v>
      </c>
      <c r="B798" s="1" t="str">
        <f ca="1">IFERROR(__xludf.DUMMYFUNCTION("GOOGLETRANSLATE(B798, ""en"", ""ko"")"),"스포츠")</f>
        <v>스포츠</v>
      </c>
      <c r="C798" s="1">
        <v>15596</v>
      </c>
      <c r="D798" s="1">
        <v>8.3000000000000007</v>
      </c>
      <c r="E798" s="1" t="str">
        <f ca="1">IFERROR(__xludf.DUMMYFUNCTION("GOOGLETRANSLATE(E798, ""en"", ""ko"")"),"스케이트보드, 롱보드, 16.2km/h, 일반적인 속도")</f>
        <v>스케이트보드, 롱보드, 16.2km/h, 일반적인 속도</v>
      </c>
      <c r="M798" s="1"/>
      <c r="O798" s="1"/>
    </row>
    <row r="799" spans="1:15" ht="16.5" customHeight="1">
      <c r="A799" s="1">
        <v>797</v>
      </c>
      <c r="B799" s="1" t="str">
        <f ca="1">IFERROR(__xludf.DUMMYFUNCTION("GOOGLETRANSLATE(B799, ""en"", ""ko"")"),"스포츠")</f>
        <v>스포츠</v>
      </c>
      <c r="C799" s="1">
        <v>15597</v>
      </c>
      <c r="D799" s="1">
        <v>10.5</v>
      </c>
      <c r="E799" s="1" t="str">
        <f ca="1">IFERROR(__xludf.DUMMYFUNCTION("GOOGLETRANSLATE(E799, ""en"", ""ko"")"),"스케이트보드, 롱보드, 13.3km/h, 빠른 속도")</f>
        <v>스케이트보드, 롱보드, 13.3km/h, 빠른 속도</v>
      </c>
      <c r="M799" s="1"/>
      <c r="O799" s="1"/>
    </row>
    <row r="800" spans="1:15" ht="16.5" customHeight="1">
      <c r="A800" s="1">
        <v>798</v>
      </c>
      <c r="B800" s="1" t="str">
        <f ca="1">IFERROR(__xludf.DUMMYFUNCTION("GOOGLETRANSLATE(B800, ""en"", ""ko"")"),"스포츠")</f>
        <v>스포츠</v>
      </c>
      <c r="C800" s="1">
        <v>15600</v>
      </c>
      <c r="D800" s="1">
        <v>3.5</v>
      </c>
      <c r="E800" s="1" t="str">
        <f ca="1">IFERROR(__xludf.DUMMYFUNCTION("GOOGLETRANSLATE(E800, ""en"", ""ko"")"),"스카이다이빙, 베이스점프, 번지점프")</f>
        <v>스카이다이빙, 베이스점프, 번지점프</v>
      </c>
      <c r="M800" s="1"/>
      <c r="O800" s="1"/>
    </row>
    <row r="801" spans="1:15" ht="16.5" customHeight="1">
      <c r="A801" s="1">
        <v>799</v>
      </c>
      <c r="B801" s="1" t="str">
        <f ca="1">IFERROR(__xludf.DUMMYFUNCTION("GOOGLETRANSLATE(B801, ""en"", ""ko"")"),"스포츠")</f>
        <v>스포츠</v>
      </c>
      <c r="C801" s="1">
        <v>15605</v>
      </c>
      <c r="D801" s="1">
        <v>9.5</v>
      </c>
      <c r="E801" s="1" t="str">
        <f ca="1">IFERROR(__xludf.DUMMYFUNCTION("GOOGLETRANSLATE(E801, ""en"", ""ko"")"),"축구, 경쟁")</f>
        <v>축구, 경쟁</v>
      </c>
      <c r="M801" s="1"/>
      <c r="O801" s="1"/>
    </row>
    <row r="802" spans="1:15" ht="16.5" customHeight="1">
      <c r="A802" s="1">
        <v>800</v>
      </c>
      <c r="B802" s="1" t="str">
        <f ca="1">IFERROR(__xludf.DUMMYFUNCTION("GOOGLETRANSLATE(B802, ""en"", ""ko"")"),"스포츠")</f>
        <v>스포츠</v>
      </c>
      <c r="C802" s="1">
        <v>15610</v>
      </c>
      <c r="D802" s="1">
        <v>7</v>
      </c>
      <c r="E802" s="1" t="str">
        <f ca="1">IFERROR(__xludf.DUMMYFUNCTION("GOOGLETRANSLATE(E802, ""en"", ""ko"")"),"축구, 캐주얼, 일반")</f>
        <v>축구, 캐주얼, 일반</v>
      </c>
      <c r="M802" s="1"/>
      <c r="O802" s="1"/>
    </row>
    <row r="803" spans="1:15" ht="16.5" customHeight="1">
      <c r="A803" s="1">
        <v>801</v>
      </c>
      <c r="B803" s="1" t="str">
        <f ca="1">IFERROR(__xludf.DUMMYFUNCTION("GOOGLETRANSLATE(B803, ""en"", ""ko"")"),"스포츠")</f>
        <v>스포츠</v>
      </c>
      <c r="C803" s="1">
        <v>15615</v>
      </c>
      <c r="D803" s="1">
        <v>3.5</v>
      </c>
      <c r="E803" s="1" t="str">
        <f ca="1">IFERROR(__xludf.DUMMYFUNCTION("GOOGLETRANSLATE(E803, ""en"", ""ko"")"),"워킹 풋볼/축구")</f>
        <v>워킹 풋볼/축구</v>
      </c>
      <c r="M803" s="1"/>
      <c r="O803" s="1"/>
    </row>
    <row r="804" spans="1:15" ht="16.5" customHeight="1">
      <c r="A804" s="1">
        <v>802</v>
      </c>
      <c r="B804" s="1" t="str">
        <f ca="1">IFERROR(__xludf.DUMMYFUNCTION("GOOGLETRANSLATE(B804, ""en"", ""ko"")"),"스포츠")</f>
        <v>스포츠</v>
      </c>
      <c r="C804" s="1">
        <v>15620</v>
      </c>
      <c r="D804" s="1">
        <v>5</v>
      </c>
      <c r="E804" s="1" t="str">
        <f ca="1">IFERROR(__xludf.DUMMYFUNCTION("GOOGLETRANSLATE(E804, ""en"", ""ko"")"),"소프트볼 또는 야구, 빠른 투구 또는 느린 투구, 일반, 중간 노력")</f>
        <v>소프트볼 또는 야구, 빠른 투구 또는 느린 투구, 일반, 중간 노력</v>
      </c>
      <c r="M804" s="1"/>
      <c r="O804" s="1"/>
    </row>
    <row r="805" spans="1:15" ht="16.5" customHeight="1">
      <c r="A805" s="1">
        <v>803</v>
      </c>
      <c r="B805" s="1" t="str">
        <f ca="1">IFERROR(__xludf.DUMMYFUNCTION("GOOGLETRANSLATE(B805, ""en"", ""ko"")"),"스포츠")</f>
        <v>스포츠</v>
      </c>
      <c r="C805" s="1">
        <v>15625</v>
      </c>
      <c r="D805" s="1">
        <v>4</v>
      </c>
      <c r="E805" s="1" t="str">
        <f ca="1">IFERROR(__xludf.DUMMYFUNCTION("GOOGLETRANSLATE(E805, ""en"", ""ko"")"),"소프트볼, 연습")</f>
        <v>소프트볼, 연습</v>
      </c>
      <c r="M805" s="1"/>
      <c r="O805" s="1"/>
    </row>
    <row r="806" spans="1:15" ht="16.5" customHeight="1">
      <c r="A806" s="1">
        <v>804</v>
      </c>
      <c r="B806" s="1" t="str">
        <f ca="1">IFERROR(__xludf.DUMMYFUNCTION("GOOGLETRANSLATE(B806, ""en"", ""ko"")"),"스포츠")</f>
        <v>스포츠</v>
      </c>
      <c r="C806" s="1">
        <v>15630</v>
      </c>
      <c r="D806" s="1">
        <v>4</v>
      </c>
      <c r="E806" s="1" t="str">
        <f ca="1">IFERROR(__xludf.DUMMYFUNCTION("GOOGLETRANSLATE(E806, ""en"", ""ko"")"),"소프트볼, 심판")</f>
        <v>소프트볼, 심판</v>
      </c>
      <c r="M806" s="1"/>
      <c r="O806" s="1"/>
    </row>
    <row r="807" spans="1:15" ht="16.5" customHeight="1">
      <c r="A807" s="1">
        <v>805</v>
      </c>
      <c r="B807" s="1" t="str">
        <f ca="1">IFERROR(__xludf.DUMMYFUNCTION("GOOGLETRANSLATE(B807, ""en"", ""ko"")"),"스포츠")</f>
        <v>스포츠</v>
      </c>
      <c r="C807" s="1">
        <v>15640</v>
      </c>
      <c r="D807" s="1">
        <v>6</v>
      </c>
      <c r="E807" s="1" t="str">
        <f ca="1">IFERROR(__xludf.DUMMYFUNCTION("GOOGLETRANSLATE(E807, ""en"", ""ko"")"),"소프트볼, 투구")</f>
        <v>소프트볼, 투구</v>
      </c>
      <c r="M807" s="1"/>
      <c r="O807" s="1"/>
    </row>
    <row r="808" spans="1:15" ht="16.5" customHeight="1">
      <c r="A808" s="1">
        <v>806</v>
      </c>
      <c r="B808" s="1" t="str">
        <f ca="1">IFERROR(__xludf.DUMMYFUNCTION("GOOGLETRANSLATE(B808, ""en"", ""ko"")"),"스포츠")</f>
        <v>스포츠</v>
      </c>
      <c r="C808" s="1">
        <v>15645</v>
      </c>
      <c r="D808" s="1">
        <v>3.3</v>
      </c>
      <c r="E808" s="1" t="str">
        <f ca="1">IFERROR(__xludf.DUMMYFUNCTION("GOOGLETRANSLATE(E808, ""en"", ""ko"")"),"스포츠 관중, 매우 흥분하고 감정적이며 육체적으로 감동적")</f>
        <v>스포츠 관중, 매우 흥분하고 감정적이며 육체적으로 감동적</v>
      </c>
      <c r="M808" s="1"/>
      <c r="O808" s="1"/>
    </row>
    <row r="809" spans="1:15" ht="16.5" customHeight="1">
      <c r="A809" s="1">
        <v>807</v>
      </c>
      <c r="B809" s="1" t="str">
        <f ca="1">IFERROR(__xludf.DUMMYFUNCTION("GOOGLETRANSLATE(B809, ""en"", ""ko"")"),"스포츠")</f>
        <v>스포츠</v>
      </c>
      <c r="C809" s="1">
        <v>15650</v>
      </c>
      <c r="D809" s="1">
        <v>12</v>
      </c>
      <c r="E809" s="1" t="str">
        <f ca="1">IFERROR(__xludf.DUMMYFUNCTION("GOOGLETRANSLATE(E809, ""en"", ""ko"")"),"스쿼시")</f>
        <v>스쿼시</v>
      </c>
      <c r="M809" s="1"/>
      <c r="O809" s="1"/>
    </row>
    <row r="810" spans="1:15" ht="16.5" customHeight="1">
      <c r="A810" s="1">
        <v>808</v>
      </c>
      <c r="B810" s="1" t="str">
        <f ca="1">IFERROR(__xludf.DUMMYFUNCTION("GOOGLETRANSLATE(B810, ""en"", ""ko"")"),"스포츠")</f>
        <v>스포츠</v>
      </c>
      <c r="C810" s="1">
        <v>15652</v>
      </c>
      <c r="D810" s="1">
        <v>7.3</v>
      </c>
      <c r="E810" s="1" t="str">
        <f ca="1">IFERROR(__xludf.DUMMYFUNCTION("GOOGLETRANSLATE(E810, ""en"", ""ko"")"),"스쿼시, 일반")</f>
        <v>스쿼시, 일반</v>
      </c>
      <c r="M810" s="1"/>
      <c r="O810" s="1"/>
    </row>
    <row r="811" spans="1:15" ht="16.5" customHeight="1">
      <c r="A811" s="1">
        <v>809</v>
      </c>
      <c r="B811" s="1" t="str">
        <f ca="1">IFERROR(__xludf.DUMMYFUNCTION("GOOGLETRANSLATE(B811, ""en"", ""ko"")"),"스포츠")</f>
        <v>스포츠</v>
      </c>
      <c r="C811" s="1">
        <v>15660</v>
      </c>
      <c r="D811" s="1">
        <v>4</v>
      </c>
      <c r="E811" s="1" t="str">
        <f ca="1">IFERROR(__xludf.DUMMYFUNCTION("GOOGLETRANSLATE(E811, ""en"", ""ko"")"),"탁구, 탁구")</f>
        <v>탁구, 탁구</v>
      </c>
      <c r="M811" s="1"/>
      <c r="O811" s="1"/>
    </row>
    <row r="812" spans="1:15" ht="16.5" customHeight="1">
      <c r="A812" s="1">
        <v>810</v>
      </c>
      <c r="B812" s="1" t="str">
        <f ca="1">IFERROR(__xludf.DUMMYFUNCTION("GOOGLETRANSLATE(B812, ""en"", ""ko"")"),"스포츠")</f>
        <v>스포츠</v>
      </c>
      <c r="C812" s="1">
        <v>15670</v>
      </c>
      <c r="D812" s="1">
        <v>3.3</v>
      </c>
      <c r="E812" s="1" t="str">
        <f ca="1">IFERROR(__xludf.DUMMYFUNCTION("GOOGLETRANSLATE(E812, ""en"", ""ko"")"),"태극권, 기공, 일반")</f>
        <v>태극권, 기공, 일반</v>
      </c>
      <c r="M812" s="1"/>
      <c r="O812" s="1"/>
    </row>
    <row r="813" spans="1:15" ht="16.5" customHeight="1">
      <c r="A813" s="1">
        <v>811</v>
      </c>
      <c r="B813" s="1" t="str">
        <f ca="1">IFERROR(__xludf.DUMMYFUNCTION("GOOGLETRANSLATE(B813, ""en"", ""ko"")"),"스포츠")</f>
        <v>스포츠</v>
      </c>
      <c r="C813" s="1">
        <v>15672</v>
      </c>
      <c r="D813" s="1">
        <v>1.5</v>
      </c>
      <c r="E813" s="1" t="str">
        <f ca="1">IFERROR(__xludf.DUMMYFUNCTION("GOOGLETRANSLATE(E813, ""en"", ""ko"")"),"태극권, 기공, 앉기, 가벼운 노력")</f>
        <v>태극권, 기공, 앉기, 가벼운 노력</v>
      </c>
      <c r="M813" s="1"/>
      <c r="O813" s="1"/>
    </row>
    <row r="814" spans="1:15" ht="16.5" customHeight="1">
      <c r="A814" s="1">
        <v>812</v>
      </c>
      <c r="B814" s="1" t="str">
        <f ca="1">IFERROR(__xludf.DUMMYFUNCTION("GOOGLETRANSLATE(B814, ""en"", ""ko"")"),"스포츠")</f>
        <v>스포츠</v>
      </c>
      <c r="C814" s="1">
        <v>15674</v>
      </c>
      <c r="D814" s="1">
        <v>6</v>
      </c>
      <c r="E814" s="1" t="str">
        <f ca="1">IFERROR(__xludf.DUMMYFUNCTION("GOOGLETRANSLATE(E814, ""en"", ""ko"")"),"태극권, 양식")</f>
        <v>태극권, 양식</v>
      </c>
      <c r="M814" s="1"/>
      <c r="O814" s="1"/>
    </row>
    <row r="815" spans="1:15" ht="16.5" customHeight="1">
      <c r="A815" s="1">
        <v>813</v>
      </c>
      <c r="B815" s="1" t="str">
        <f ca="1">IFERROR(__xludf.DUMMYFUNCTION("GOOGLETRANSLATE(B815, ""en"", ""ko"")"),"스포츠")</f>
        <v>스포츠</v>
      </c>
      <c r="C815" s="1">
        <v>15675</v>
      </c>
      <c r="D815" s="1">
        <v>6.8</v>
      </c>
      <c r="E815" s="1" t="str">
        <f ca="1">IFERROR(__xludf.DUMMYFUNCTION("GOOGLETRANSLATE(E815, ""en"", ""ko"")"),"테니스, 일반, 중간 강도")</f>
        <v>테니스, 일반, 중간 강도</v>
      </c>
      <c r="M815" s="1"/>
      <c r="O815" s="1"/>
    </row>
    <row r="816" spans="1:15" ht="16.5" customHeight="1">
      <c r="A816" s="1">
        <v>814</v>
      </c>
      <c r="B816" s="1" t="str">
        <f ca="1">IFERROR(__xludf.DUMMYFUNCTION("GOOGLETRANSLATE(B816, ""en"", ""ko"")"),"스포츠")</f>
        <v>스포츠</v>
      </c>
      <c r="C816" s="1">
        <v>15676</v>
      </c>
      <c r="D816" s="1">
        <v>8</v>
      </c>
      <c r="E816" s="1" t="str">
        <f ca="1">IFERROR(__xludf.DUMMYFUNCTION("GOOGLETRANSLATE(E816, ""en"", ""ko"")"),"테니스, 일반, 경쟁")</f>
        <v>테니스, 일반, 경쟁</v>
      </c>
      <c r="M816" s="1"/>
      <c r="O816" s="1"/>
    </row>
    <row r="817" spans="1:15" ht="16.5" customHeight="1">
      <c r="A817" s="1">
        <v>815</v>
      </c>
      <c r="B817" s="1" t="str">
        <f ca="1">IFERROR(__xludf.DUMMYFUNCTION("GOOGLETRANSLATE(B817, ""en"", ""ko"")"),"스포츠")</f>
        <v>스포츠</v>
      </c>
      <c r="C817" s="1">
        <v>15680</v>
      </c>
      <c r="D817" s="1">
        <v>6</v>
      </c>
      <c r="E817" s="1" t="str">
        <f ca="1">IFERROR(__xludf.DUMMYFUNCTION("GOOGLETRANSLATE(E817, ""en"", ""ko"")"),"테니스, 복식")</f>
        <v>테니스, 복식</v>
      </c>
      <c r="M817" s="1"/>
      <c r="O817" s="1"/>
    </row>
    <row r="818" spans="1:15" ht="16.5" customHeight="1">
      <c r="A818" s="1">
        <v>816</v>
      </c>
      <c r="B818" s="1" t="str">
        <f ca="1">IFERROR(__xludf.DUMMYFUNCTION("GOOGLETRANSLATE(B818, ""en"", ""ko"")"),"스포츠")</f>
        <v>스포츠</v>
      </c>
      <c r="C818" s="1">
        <v>15685</v>
      </c>
      <c r="D818" s="1">
        <v>4.5</v>
      </c>
      <c r="E818" s="1" t="str">
        <f ca="1">IFERROR(__xludf.DUMMYFUNCTION("GOOGLETRANSLATE(E818, ""en"", ""ko"")"),"테니스, 복식")</f>
        <v>테니스, 복식</v>
      </c>
      <c r="M818" s="1"/>
      <c r="O818" s="1"/>
    </row>
    <row r="819" spans="1:15" ht="16.5" customHeight="1">
      <c r="A819" s="1">
        <v>817</v>
      </c>
      <c r="B819" s="1" t="str">
        <f ca="1">IFERROR(__xludf.DUMMYFUNCTION("GOOGLETRANSLATE(B819, ""en"", ""ko"")"),"스포츠")</f>
        <v>스포츠</v>
      </c>
      <c r="C819" s="1">
        <v>15690</v>
      </c>
      <c r="D819" s="1">
        <v>8</v>
      </c>
      <c r="E819" s="1" t="str">
        <f ca="1">IFERROR(__xludf.DUMMYFUNCTION("GOOGLETRANSLATE(E819, ""en"", ""ko"")"),"테니스, 싱글)")</f>
        <v>테니스, 싱글)</v>
      </c>
      <c r="M819" s="1"/>
      <c r="O819" s="1"/>
    </row>
    <row r="820" spans="1:15" ht="16.5" customHeight="1">
      <c r="A820" s="1">
        <v>818</v>
      </c>
      <c r="B820" s="1" t="str">
        <f ca="1">IFERROR(__xludf.DUMMYFUNCTION("GOOGLETRANSLATE(B820, ""en"", ""ko"")"),"스포츠")</f>
        <v>스포츠</v>
      </c>
      <c r="C820" s="1">
        <v>15695</v>
      </c>
      <c r="D820" s="1">
        <v>5</v>
      </c>
      <c r="E820" s="1" t="str">
        <f ca="1">IFERROR(__xludf.DUMMYFUNCTION("GOOGLETRANSLATE(E820, ""en"", ""ko"")"),"테니스, 공 치기, 게임 외 플레이, 중간 정도의 노력")</f>
        <v>테니스, 공 치기, 게임 외 플레이, 중간 정도의 노력</v>
      </c>
      <c r="M820" s="1"/>
      <c r="O820" s="1"/>
    </row>
    <row r="821" spans="1:15" ht="16.5" customHeight="1">
      <c r="A821" s="1">
        <v>819</v>
      </c>
      <c r="B821" s="1" t="str">
        <f ca="1">IFERROR(__xludf.DUMMYFUNCTION("GOOGLETRANSLATE(B821, ""en"", ""ko"")"),"스포츠")</f>
        <v>스포츠</v>
      </c>
      <c r="C821" s="1">
        <v>15700</v>
      </c>
      <c r="D821" s="1">
        <v>6.3</v>
      </c>
      <c r="E821" s="1" t="str">
        <f ca="1">IFERROR(__xludf.DUMMYFUNCTION("GOOGLETRANSLATE(E821, ""en"", ""ko"")"),"트램펄린, 레크리에이션")</f>
        <v>트램펄린, 레크리에이션</v>
      </c>
      <c r="M821" s="1"/>
      <c r="O821" s="1"/>
    </row>
    <row r="822" spans="1:15" ht="16.5" customHeight="1">
      <c r="A822" s="1">
        <v>820</v>
      </c>
      <c r="B822" s="1" t="str">
        <f ca="1">IFERROR(__xludf.DUMMYFUNCTION("GOOGLETRANSLATE(B822, ""en"", ""ko"")"),"스포츠")</f>
        <v>스포츠</v>
      </c>
      <c r="C822" s="1">
        <v>15702</v>
      </c>
      <c r="D822" s="1">
        <v>10.3</v>
      </c>
      <c r="E822" s="1" t="str">
        <f ca="1">IFERROR(__xludf.DUMMYFUNCTION("GOOGLETRANSLATE(E822, ""en"", ""ko"")"),"트램펄린, 경쟁")</f>
        <v>트램펄린, 경쟁</v>
      </c>
      <c r="M822" s="1"/>
      <c r="O822" s="1"/>
    </row>
    <row r="823" spans="1:15" ht="16.5" customHeight="1">
      <c r="A823" s="1">
        <v>821</v>
      </c>
      <c r="B823" s="1" t="str">
        <f ca="1">IFERROR(__xludf.DUMMYFUNCTION("GOOGLETRANSLATE(B823, ""en"", ""ko"")"),"스포츠")</f>
        <v>스포츠</v>
      </c>
      <c r="C823" s="1">
        <v>15710</v>
      </c>
      <c r="D823" s="1">
        <v>4</v>
      </c>
      <c r="E823" s="1" t="str">
        <f ca="1">IFERROR(__xludf.DUMMYFUNCTION("GOOGLETRANSLATE(E823, ""en"", ""ko"")"),"배구")</f>
        <v>배구</v>
      </c>
      <c r="M823" s="1"/>
      <c r="O823" s="1"/>
    </row>
    <row r="824" spans="1:15" ht="16.5" customHeight="1">
      <c r="A824" s="1">
        <v>822</v>
      </c>
      <c r="B824" s="1" t="str">
        <f ca="1">IFERROR(__xludf.DUMMYFUNCTION("GOOGLETRANSLATE(B824, ""en"", ""ko"")"),"스포츠")</f>
        <v>스포츠</v>
      </c>
      <c r="C824" s="1">
        <v>15711</v>
      </c>
      <c r="D824" s="1">
        <v>6</v>
      </c>
      <c r="E824" s="1" t="str">
        <f ca="1">IFERROR(__xludf.DUMMYFUNCTION("GOOGLETRANSLATE(E824, ""en"", ""ko"")"),"배구, 경쟁, 체육관에서")</f>
        <v>배구, 경쟁, 체육관에서</v>
      </c>
      <c r="M824" s="1"/>
      <c r="O824" s="1"/>
    </row>
    <row r="825" spans="1:15" ht="16.5" customHeight="1">
      <c r="A825" s="1">
        <v>823</v>
      </c>
      <c r="B825" s="1" t="str">
        <f ca="1">IFERROR(__xludf.DUMMYFUNCTION("GOOGLETRANSLATE(B825, ""en"", ""ko"")"),"스포츠")</f>
        <v>스포츠</v>
      </c>
      <c r="C825" s="1">
        <v>15720</v>
      </c>
      <c r="D825" s="1">
        <v>3</v>
      </c>
      <c r="E825" s="1" t="str">
        <f ca="1">IFERROR(__xludf.DUMMYFUNCTION("GOOGLETRANSLATE(E825, ""en"", ""ko"")"),"배구, 비경쟁, 6~9인 팀, 일반")</f>
        <v>배구, 비경쟁, 6~9인 팀, 일반</v>
      </c>
      <c r="M825" s="1"/>
      <c r="O825" s="1"/>
    </row>
    <row r="826" spans="1:15" ht="16.5" customHeight="1">
      <c r="A826" s="1">
        <v>824</v>
      </c>
      <c r="B826" s="1" t="str">
        <f ca="1">IFERROR(__xludf.DUMMYFUNCTION("GOOGLETRANSLATE(B826, ""en"", ""ko"")"),"스포츠")</f>
        <v>스포츠</v>
      </c>
      <c r="C826" s="1">
        <v>15725</v>
      </c>
      <c r="D826" s="1">
        <v>8</v>
      </c>
      <c r="E826" s="1" t="str">
        <f ca="1">IFERROR(__xludf.DUMMYFUNCTION("GOOGLETRANSLATE(E826, ""en"", ""ko"")"),"배구, 해변, 모래 위")</f>
        <v>배구, 해변, 모래 위</v>
      </c>
      <c r="M826" s="1"/>
      <c r="O826" s="1"/>
    </row>
    <row r="827" spans="1:15" ht="16.5" customHeight="1">
      <c r="A827" s="1">
        <v>825</v>
      </c>
      <c r="B827" s="1" t="str">
        <f ca="1">IFERROR(__xludf.DUMMYFUNCTION("GOOGLETRANSLATE(B827, ""en"", ""ko"")"),"스포츠")</f>
        <v>스포츠</v>
      </c>
      <c r="C827" s="1">
        <v>15730</v>
      </c>
      <c r="D827" s="1">
        <v>6</v>
      </c>
      <c r="E827" s="1" t="str">
        <f ca="1">IFERROR(__xludf.DUMMYFUNCTION("GOOGLETRANSLATE(E827, ""en"", ""ko"")"),"레슬링, 경쟁 (1경기 = 5분)")</f>
        <v>레슬링, 경쟁 (1경기 = 5분)</v>
      </c>
      <c r="M827" s="1"/>
      <c r="O827" s="1"/>
    </row>
    <row r="828" spans="1:15" ht="16.5" customHeight="1">
      <c r="A828" s="1">
        <v>826</v>
      </c>
      <c r="B828" s="1" t="str">
        <f ca="1">IFERROR(__xludf.DUMMYFUNCTION("GOOGLETRANSLATE(B828, ""en"", ""ko"")"),"스포츠")</f>
        <v>스포츠</v>
      </c>
      <c r="C828" s="1">
        <v>15731</v>
      </c>
      <c r="D828" s="1">
        <v>7</v>
      </c>
      <c r="E828" s="1" t="str">
        <f ca="1">IFERROR(__xludf.DUMMYFUNCTION("GOOGLETRANSLATE(E828, ""en"", ""ko"")"),"월리볼, 장군")</f>
        <v>월리볼, 장군</v>
      </c>
      <c r="M828" s="1"/>
      <c r="O828" s="1"/>
    </row>
    <row r="829" spans="1:15" ht="16.5" customHeight="1">
      <c r="A829" s="1">
        <v>827</v>
      </c>
      <c r="B829" s="1" t="str">
        <f ca="1">IFERROR(__xludf.DUMMYFUNCTION("GOOGLETRANSLATE(B829, ""en"", ""ko"")"),"스포츠")</f>
        <v>스포츠</v>
      </c>
      <c r="C829" s="1">
        <v>15732</v>
      </c>
      <c r="D829" s="1">
        <v>4</v>
      </c>
      <c r="E829" s="1" t="str">
        <f ca="1">IFERROR(__xludf.DUMMYFUNCTION("GOOGLETRANSLATE(E829, ""en"", ""ko"")"),"육상(예: 포환던지기, 원반던지기, 해머던지기)")</f>
        <v>육상(예: 포환던지기, 원반던지기, 해머던지기)</v>
      </c>
      <c r="M829" s="1"/>
      <c r="O829" s="1"/>
    </row>
    <row r="830" spans="1:15" ht="16.5" customHeight="1">
      <c r="A830" s="1">
        <v>828</v>
      </c>
      <c r="B830" s="1" t="str">
        <f ca="1">IFERROR(__xludf.DUMMYFUNCTION("GOOGLETRANSLATE(B830, ""en"", ""ko"")"),"스포츠")</f>
        <v>스포츠</v>
      </c>
      <c r="C830" s="1">
        <v>15733</v>
      </c>
      <c r="D830" s="1">
        <v>6</v>
      </c>
      <c r="E830" s="1" t="str">
        <f ca="1">IFERROR(__xludf.DUMMYFUNCTION("GOOGLETRANSLATE(E830, ""en"", ""ko"")"),"육상 경기(예: 높이뛰기, 멀리뛰기, 세단뛰기, 창던지기, 장대높이뛰기)")</f>
        <v>육상 경기(예: 높이뛰기, 멀리뛰기, 세단뛰기, 창던지기, 장대높이뛰기)</v>
      </c>
      <c r="M830" s="1"/>
      <c r="O830" s="1"/>
    </row>
    <row r="831" spans="1:15" ht="16.5" customHeight="1">
      <c r="A831" s="1">
        <v>829</v>
      </c>
      <c r="B831" s="1" t="str">
        <f ca="1">IFERROR(__xludf.DUMMYFUNCTION("GOOGLETRANSLATE(B831, ""en"", ""ko"")"),"스포츠")</f>
        <v>스포츠</v>
      </c>
      <c r="C831" s="1">
        <v>15734</v>
      </c>
      <c r="D831" s="1">
        <v>10</v>
      </c>
      <c r="E831" s="1" t="str">
        <f ca="1">IFERROR(__xludf.DUMMYFUNCTION("GOOGLETRANSLATE(E831, ""en"", ""ko"")"),"육상 경기(예: 장애물 경주, 허들 경주)")</f>
        <v>육상 경기(예: 장애물 경주, 허들 경주)</v>
      </c>
      <c r="M831" s="1"/>
      <c r="O831" s="1"/>
    </row>
    <row r="832" spans="1:15" ht="16.5" customHeight="1">
      <c r="A832" s="1">
        <v>830</v>
      </c>
      <c r="B832" s="1" t="str">
        <f ca="1">IFERROR(__xludf.DUMMYFUNCTION("GOOGLETRANSLATE(B832, ""en"", ""ko"")"),"운송")</f>
        <v>운송</v>
      </c>
      <c r="C832" s="1">
        <v>16002</v>
      </c>
      <c r="D832" s="1">
        <v>9.3000000000000007</v>
      </c>
      <c r="E832" s="1" t="str">
        <f ca="1">IFERROR(__xludf.DUMMYFUNCTION("GOOGLETRANSLATE(E832, ""en"", ""ko"")"),"이동 수단으로 자전거를 이용하세요, 가벼운 노력")</f>
        <v>이동 수단으로 자전거를 이용하세요, 가벼운 노력</v>
      </c>
      <c r="M832" s="1"/>
      <c r="O832" s="1"/>
    </row>
    <row r="833" spans="1:15" ht="16.5" customHeight="1">
      <c r="A833" s="1">
        <v>831</v>
      </c>
      <c r="B833" s="1" t="str">
        <f ca="1">IFERROR(__xludf.DUMMYFUNCTION("GOOGLETRANSLATE(B833, ""en"", ""ko"")"),"운송")</f>
        <v>운송</v>
      </c>
      <c r="C833" s="1">
        <v>16004</v>
      </c>
      <c r="D833" s="1">
        <v>9.3000000000000007</v>
      </c>
      <c r="E833" s="1" t="str">
        <f ca="1">IFERROR(__xludf.DUMMYFUNCTION("GOOGLETRANSLATE(E833, ""en"", ""ko"")"),"이동수단으로 자전거를 이용, 노력 많이 필요")</f>
        <v>이동수단으로 자전거를 이용, 노력 많이 필요</v>
      </c>
      <c r="M833" s="1"/>
      <c r="O833" s="1"/>
    </row>
    <row r="834" spans="1:15" ht="16.5" customHeight="1">
      <c r="A834" s="1">
        <v>832</v>
      </c>
      <c r="B834" s="1" t="str">
        <f ca="1">IFERROR(__xludf.DUMMYFUNCTION("GOOGLETRANSLATE(B834, ""en"", ""ko"")"),"운송")</f>
        <v>운송</v>
      </c>
      <c r="C834" s="1">
        <v>16005</v>
      </c>
      <c r="D834" s="1">
        <v>6.8</v>
      </c>
      <c r="E834" s="1" t="str">
        <f ca="1">IFERROR(__xludf.DUMMYFUNCTION("GOOGLETRANSLATE(E834, ""en"", ""ko"")"),"이동 수단으로 사용되는 전기 자전거(전기 보조)")</f>
        <v>이동 수단으로 사용되는 전기 자전거(전기 보조)</v>
      </c>
      <c r="M834" s="1"/>
      <c r="O834" s="1"/>
    </row>
    <row r="835" spans="1:15" ht="16.5" customHeight="1">
      <c r="A835" s="1">
        <v>833</v>
      </c>
      <c r="B835" s="1" t="str">
        <f ca="1">IFERROR(__xludf.DUMMYFUNCTION("GOOGLETRANSLATE(B835, ""en"", ""ko"")"),"운송")</f>
        <v>운송</v>
      </c>
      <c r="C835" s="1">
        <v>16010</v>
      </c>
      <c r="D835" s="1">
        <v>2</v>
      </c>
      <c r="E835" s="1" t="str">
        <f ca="1">IFERROR(__xludf.DUMMYFUNCTION("GOOGLETRANSLATE(E835, ""en"", ""ko"")"),"자동차 또는 경트럭(세미트럭 제외) 운전")</f>
        <v>자동차 또는 경트럭(세미트럭 제외) 운전</v>
      </c>
      <c r="M835" s="1"/>
      <c r="O835" s="1"/>
    </row>
    <row r="836" spans="1:15" ht="16.5" customHeight="1">
      <c r="A836" s="1">
        <v>834</v>
      </c>
      <c r="B836" s="1" t="str">
        <f ca="1">IFERROR(__xludf.DUMMYFUNCTION("GOOGLETRANSLATE(B836, ""en"", ""ko"")"),"운송")</f>
        <v>운송</v>
      </c>
      <c r="C836" s="1">
        <v>16015</v>
      </c>
      <c r="D836" s="1">
        <v>1.3</v>
      </c>
      <c r="E836" s="1" t="str">
        <f ca="1">IFERROR(__xludf.DUMMYFUNCTION("GOOGLETRANSLATE(E836, ""en"", ""ko"")"),"자동차나 트럭을 타고")</f>
        <v>자동차나 트럭을 타고</v>
      </c>
      <c r="M836" s="1"/>
      <c r="O836" s="1"/>
    </row>
    <row r="837" spans="1:15" ht="16.5" customHeight="1">
      <c r="A837" s="1">
        <v>835</v>
      </c>
      <c r="B837" s="1" t="str">
        <f ca="1">IFERROR(__xludf.DUMMYFUNCTION("GOOGLETRANSLATE(B837, ""en"", ""ko"")"),"운송")</f>
        <v>운송</v>
      </c>
      <c r="C837" s="1">
        <v>16016</v>
      </c>
      <c r="D837" s="1">
        <v>1.3</v>
      </c>
      <c r="E837" s="1" t="str">
        <f ca="1">IFERROR(__xludf.DUMMYFUNCTION("GOOGLETRANSLATE(E837, ""en"", ""ko"")"),"버스나 기차를 타고")</f>
        <v>버스나 기차를 타고</v>
      </c>
      <c r="M837" s="1"/>
      <c r="O837" s="1"/>
    </row>
    <row r="838" spans="1:15" ht="16.5" customHeight="1">
      <c r="A838" s="1">
        <v>836</v>
      </c>
      <c r="B838" s="1" t="str">
        <f ca="1">IFERROR(__xludf.DUMMYFUNCTION("GOOGLETRANSLATE(B838, ""en"", ""ko"")"),"운송")</f>
        <v>운송</v>
      </c>
      <c r="C838" s="1">
        <v>16020</v>
      </c>
      <c r="D838" s="1">
        <v>1.8</v>
      </c>
      <c r="E838" s="1" t="str">
        <f ca="1">IFERROR(__xludf.DUMMYFUNCTION("GOOGLETRANSLATE(E838, ""en"", ""ko"")"),"비행기나 헬리콥터를 타고 비행하다")</f>
        <v>비행기나 헬리콥터를 타고 비행하다</v>
      </c>
      <c r="M838" s="1"/>
      <c r="O838" s="1"/>
    </row>
    <row r="839" spans="1:15" ht="16.5" customHeight="1">
      <c r="A839" s="1">
        <v>837</v>
      </c>
      <c r="B839" s="1" t="str">
        <f ca="1">IFERROR(__xludf.DUMMYFUNCTION("GOOGLETRANSLATE(B839, ""en"", ""ko"")"),"운송")</f>
        <v>운송</v>
      </c>
      <c r="C839" s="1">
        <v>16030</v>
      </c>
      <c r="D839" s="1">
        <v>2.8</v>
      </c>
      <c r="E839" s="1" t="str">
        <f ca="1">IFERROR(__xludf.DUMMYFUNCTION("GOOGLETRANSLATE(E839, ""en"", ""ko"")"),"모터 스쿠터, 오토바이")</f>
        <v>모터 스쿠터, 오토바이</v>
      </c>
      <c r="M839" s="1"/>
      <c r="O839" s="1"/>
    </row>
    <row r="840" spans="1:15" ht="16.5" customHeight="1">
      <c r="A840" s="1">
        <v>838</v>
      </c>
      <c r="B840" s="1" t="str">
        <f ca="1">IFERROR(__xludf.DUMMYFUNCTION("GOOGLETRANSLATE(B840, ""en"", ""ko"")"),"운송")</f>
        <v>운송</v>
      </c>
      <c r="C840" s="1">
        <v>16035</v>
      </c>
      <c r="D840" s="1">
        <v>6.3</v>
      </c>
      <c r="E840" s="1" t="str">
        <f ca="1">IFERROR(__xludf.DUMMYFUNCTION("GOOGLETRANSLATE(E840, ""en"", ""ko"")"),"인력거를 끌다")</f>
        <v>인력거를 끌다</v>
      </c>
      <c r="M840" s="1"/>
      <c r="O840" s="1"/>
    </row>
    <row r="841" spans="1:15" ht="16.5" customHeight="1">
      <c r="A841" s="1">
        <v>839</v>
      </c>
      <c r="B841" s="1" t="str">
        <f ca="1">IFERROR(__xludf.DUMMYFUNCTION("GOOGLETRANSLATE(B841, ""en"", ""ko"")"),"운송")</f>
        <v>운송</v>
      </c>
      <c r="C841" s="1">
        <v>16040</v>
      </c>
      <c r="D841" s="1">
        <v>6</v>
      </c>
      <c r="E841" s="1" t="str">
        <f ca="1">IFERROR(__xludf.DUMMYFUNCTION("GOOGLETRANSLATE(E841, ""en"", ""ko"")"),"격납고에서 비행기를 밀어 넣고 빼기")</f>
        <v>격납고에서 비행기를 밀어 넣고 빼기</v>
      </c>
      <c r="M841" s="1"/>
      <c r="O841" s="1"/>
    </row>
    <row r="842" spans="1:15" ht="16.5" customHeight="1">
      <c r="A842" s="1">
        <v>840</v>
      </c>
      <c r="B842" s="1" t="str">
        <f ca="1">IFERROR(__xludf.DUMMYFUNCTION("GOOGLETRANSLATE(B842, ""en"", ""ko"")"),"운송")</f>
        <v>운송</v>
      </c>
      <c r="C842" s="1">
        <v>16050</v>
      </c>
      <c r="D842" s="1">
        <v>2.5</v>
      </c>
      <c r="E842" s="1" t="str">
        <f ca="1">IFERROR(__xludf.DUMMYFUNCTION("GOOGLETRANSLATE(E842, ""en"", ""ko"")"),"트럭, 세미 트레일러, 트랙터, 버스 운전")</f>
        <v>트럭, 세미 트레일러, 트랙터, 버스 운전</v>
      </c>
      <c r="M842" s="1"/>
      <c r="O842" s="1"/>
    </row>
    <row r="843" spans="1:15" ht="16.5" customHeight="1">
      <c r="A843" s="1">
        <v>841</v>
      </c>
      <c r="B843" s="1" t="str">
        <f ca="1">IFERROR(__xludf.DUMMYFUNCTION("GOOGLETRANSLATE(B843, ""en"", ""ko"")"),"운송")</f>
        <v>운송</v>
      </c>
      <c r="C843" s="1">
        <v>16060</v>
      </c>
      <c r="D843" s="1">
        <v>3.5</v>
      </c>
      <c r="E843" s="1" t="str">
        <f ca="1">IFERROR(__xludf.DUMMYFUNCTION("GOOGLETRANSLATE(E843, ""en"", ""ko"")"),"이동을 위한 걷기, 2.8-3.2mph, 평탄, 중간 속도, 단단한 표면")</f>
        <v>이동을 위한 걷기, 2.8-3.2mph, 평탄, 중간 속도, 단단한 표면</v>
      </c>
      <c r="M843" s="1"/>
      <c r="O843" s="1"/>
    </row>
    <row r="844" spans="1:15" ht="16.5" customHeight="1">
      <c r="A844" s="1">
        <v>842</v>
      </c>
      <c r="B844" s="1" t="str">
        <f ca="1">IFERROR(__xludf.DUMMYFUNCTION("GOOGLETRANSLATE(B844, ""en"", ""ko"")"),"걷는")</f>
        <v>걷는</v>
      </c>
      <c r="C844" s="1">
        <v>17010</v>
      </c>
      <c r="D844" s="1">
        <v>7</v>
      </c>
      <c r="E844" s="4" t="s">
        <v>5</v>
      </c>
      <c r="M844" s="1"/>
      <c r="O844" s="1"/>
    </row>
    <row r="845" spans="1:15" ht="16.5" customHeight="1">
      <c r="A845" s="1">
        <v>843</v>
      </c>
      <c r="B845" s="1" t="str">
        <f ca="1">IFERROR(__xludf.DUMMYFUNCTION("GOOGLETRANSLATE(B845, ""en"", ""ko"")"),"걷는")</f>
        <v>걷는</v>
      </c>
      <c r="C845" s="1">
        <v>17011</v>
      </c>
      <c r="D845" s="1">
        <v>3.5</v>
      </c>
      <c r="E845" s="1" t="str">
        <f ca="1">IFERROR(__xludf.DUMMYFUNCTION("GOOGLETRANSLATE(E845, ""en"", ""ko"")"),"도시 속에서 평지를 가정하고 데이팩을 들고 걷는다")</f>
        <v>도시 속에서 평지를 가정하고 데이팩을 들고 걷는다</v>
      </c>
      <c r="M845" s="1"/>
      <c r="O845" s="1"/>
    </row>
    <row r="846" spans="1:15" ht="16.5" customHeight="1">
      <c r="A846" s="1">
        <v>844</v>
      </c>
      <c r="B846" s="1" t="str">
        <f ca="1">IFERROR(__xludf.DUMMYFUNCTION("GOOGLETRANSLATE(B846, ""en"", ""ko"")"),"걷는")</f>
        <v>걷는</v>
      </c>
      <c r="C846" s="1">
        <v>17012</v>
      </c>
      <c r="D846" s="1">
        <v>7.8</v>
      </c>
      <c r="E846" s="1" t="str">
        <f ca="1">IFERROR(__xludf.DUMMYFUNCTION("GOOGLETRANSLATE(E846, ""en"", ""ko"")"),"백패킹, 데이팩을 이용한 하이킹, 데이팩을 이용한 조직적 산책")</f>
        <v>백패킹, 데이팩을 이용한 하이킹, 데이팩을 이용한 조직적 산책</v>
      </c>
      <c r="M846" s="1"/>
      <c r="O846" s="1"/>
    </row>
    <row r="847" spans="1:15" ht="16.5" customHeight="1">
      <c r="A847" s="1">
        <v>845</v>
      </c>
      <c r="B847" s="1" t="str">
        <f ca="1">IFERROR(__xludf.DUMMYFUNCTION("GOOGLETRANSLATE(B847, ""en"", ""ko"")"),"걷는")</f>
        <v>걷는</v>
      </c>
      <c r="C847" s="1">
        <v>17016</v>
      </c>
      <c r="D847" s="1">
        <v>4</v>
      </c>
      <c r="E847" s="1" t="str">
        <f ca="1">IFERROR(__xludf.DUMMYFUNCTION("GOOGLETRANSLATE(E847, ""en"", ""ko"")"),"5~14poud(2.3~6.4kg)의 짐(예: 가방, 상자, 식료품)을 운반, 평평한 땅, 적당한 속도")</f>
        <v>5~14poud(2.3~6.4kg)의 짐(예: 가방, 상자, 식료품)을 운반, 평평한 땅, 적당한 속도</v>
      </c>
      <c r="M847" s="1"/>
      <c r="O847" s="1"/>
    </row>
    <row r="848" spans="1:15" ht="16.5" customHeight="1">
      <c r="A848" s="1">
        <v>846</v>
      </c>
      <c r="B848" s="1" t="str">
        <f ca="1">IFERROR(__xludf.DUMMYFUNCTION("GOOGLETRANSLATE(B848, ""en"", ""ko"")"),"걷는")</f>
        <v>걷는</v>
      </c>
      <c r="C848" s="1">
        <v>17018</v>
      </c>
      <c r="D848" s="1">
        <v>4.5</v>
      </c>
      <c r="E848" s="1" t="str">
        <f ca="1">IFERROR(__xludf.DUMMYFUNCTION("GOOGLETRANSLATE(E848, ""en"", ""ko"")"),"15~155poud(6.8~70.4kg)의 짐(예: 가방, 상자, 가구)을 평평한 땅이나 아래층에 들고 천천히 이동합니다.")</f>
        <v>15~155poud(6.8~70.4kg)의 짐(예: 가방, 상자, 가구)을 평평한 땅이나 아래층에 들고 천천히 이동합니다.</v>
      </c>
      <c r="M848" s="1"/>
      <c r="O848" s="1"/>
    </row>
    <row r="849" spans="1:15" ht="16.5" customHeight="1">
      <c r="A849" s="1">
        <v>847</v>
      </c>
      <c r="B849" s="1" t="str">
        <f ca="1">IFERROR(__xludf.DUMMYFUNCTION("GOOGLETRANSLATE(B849, ""en"", ""ko"")"),"걷는")</f>
        <v>걷는</v>
      </c>
      <c r="C849" s="1">
        <v>17019</v>
      </c>
      <c r="D849" s="1">
        <v>6.5</v>
      </c>
      <c r="E849" s="1" t="str">
        <f ca="1">IFERROR(__xludf.DUMMYFUNCTION("GOOGLETRANSLATE(E849, ""en"", ""ko"")"),"50~150poud의 짐(예: 말이나 소 사료, 울타리 파이프, 가구)을 운반하고, 평평한 지면, 적당한 속도로 이동합니다.")</f>
        <v>50~150poud의 짐(예: 말이나 소 사료, 울타리 파이프, 가구)을 운반하고, 평평한 지면, 적당한 속도로 이동합니다.</v>
      </c>
      <c r="M849" s="1"/>
      <c r="O849" s="1"/>
    </row>
    <row r="850" spans="1:15" ht="16.5" customHeight="1">
      <c r="A850" s="1">
        <v>848</v>
      </c>
      <c r="B850" s="1" t="str">
        <f ca="1">IFERROR(__xludf.DUMMYFUNCTION("GOOGLETRANSLATE(B850, ""en"", ""ko"")"),"걷는")</f>
        <v>걷는</v>
      </c>
      <c r="C850" s="1">
        <v>17021</v>
      </c>
      <c r="D850" s="1">
        <v>2.2999999999999998</v>
      </c>
      <c r="E850" s="1" t="str">
        <f ca="1">IFERROR(__xludf.DUMMYFUNCTION("GOOGLETRANSLATE(E850, ""en"", ""ko"")"),"~10poud 아이를 안고 천천히 걷는다")</f>
        <v>~10poud 아이를 안고 천천히 걷는다</v>
      </c>
      <c r="M850" s="1"/>
      <c r="O850" s="1"/>
    </row>
    <row r="851" spans="1:15" ht="16.5" customHeight="1">
      <c r="A851" s="1">
        <v>849</v>
      </c>
      <c r="B851" s="1" t="str">
        <f ca="1">IFERROR(__xludf.DUMMYFUNCTION("GOOGLETRANSLATE(B851, ""en"", ""ko"")"),"걷는")</f>
        <v>걷는</v>
      </c>
      <c r="C851" s="1">
        <v>17025</v>
      </c>
      <c r="D851" s="1">
        <v>8.3000000000000007</v>
      </c>
      <c r="E851" s="1" t="str">
        <f ca="1">IFERROR(__xludf.DUMMYFUNCTION("GOOGLETRANSLATE(E851, ""en"", ""ko"")"),"위층으로 짐을 운반하는 일반")</f>
        <v>위층으로 짐을 운반하는 일반</v>
      </c>
      <c r="M851" s="1"/>
      <c r="O851" s="1"/>
    </row>
    <row r="852" spans="1:15" ht="16.5" customHeight="1">
      <c r="A852" s="1">
        <v>850</v>
      </c>
      <c r="B852" s="1" t="str">
        <f ca="1">IFERROR(__xludf.DUMMYFUNCTION("GOOGLETRANSLATE(B852, ""en"", ""ko"")"),"걷는")</f>
        <v>걷는</v>
      </c>
      <c r="C852" s="1">
        <v>17026</v>
      </c>
      <c r="D852" s="1">
        <v>5.5</v>
      </c>
      <c r="E852" s="1" t="str">
        <f ca="1">IFERROR(__xludf.DUMMYFUNCTION("GOOGLETRANSLATE(E852, ""en"", ""ko"")"),"짐 운반, 1~15poud 짐, 위층")</f>
        <v>짐 운반, 1~15poud 짐, 위층</v>
      </c>
      <c r="M852" s="1"/>
      <c r="O852" s="1"/>
    </row>
    <row r="853" spans="1:15" ht="16.5" customHeight="1">
      <c r="A853" s="1">
        <v>851</v>
      </c>
      <c r="B853" s="1" t="str">
        <f ca="1">IFERROR(__xludf.DUMMYFUNCTION("GOOGLETRANSLATE(B853, ""en"", ""ko"")"),"걷는")</f>
        <v>걷는</v>
      </c>
      <c r="C853" s="1">
        <v>17027</v>
      </c>
      <c r="D853" s="1">
        <v>6</v>
      </c>
      <c r="E853" s="1" t="str">
        <f ca="1">IFERROR(__xludf.DUMMYFUNCTION("GOOGLETRANSLATE(E853, ""en"", ""ko"")"),"짐 운반, 16~24poud 짐, 위층")</f>
        <v>짐 운반, 16~24poud 짐, 위층</v>
      </c>
      <c r="M853" s="1"/>
      <c r="O853" s="1"/>
    </row>
    <row r="854" spans="1:15" ht="16.5" customHeight="1">
      <c r="A854" s="1">
        <v>852</v>
      </c>
      <c r="B854" s="1" t="str">
        <f ca="1">IFERROR(__xludf.DUMMYFUNCTION("GOOGLETRANSLATE(B854, ""en"", ""ko"")"),"걷는")</f>
        <v>걷는</v>
      </c>
      <c r="C854" s="1">
        <v>17028</v>
      </c>
      <c r="D854" s="1">
        <v>8</v>
      </c>
      <c r="E854" s="1" t="str">
        <f ca="1">IFERROR(__xludf.DUMMYFUNCTION("GOOGLETRANSLATE(E854, ""en"", ""ko"")"),"짐 운반, 25~49poud 짐, 위층")</f>
        <v>짐 운반, 25~49poud 짐, 위층</v>
      </c>
      <c r="M854" s="1"/>
      <c r="O854" s="1"/>
    </row>
    <row r="855" spans="1:15" ht="16.5" customHeight="1">
      <c r="A855" s="1">
        <v>853</v>
      </c>
      <c r="B855" s="1" t="str">
        <f ca="1">IFERROR(__xludf.DUMMYFUNCTION("GOOGLETRANSLATE(B855, ""en"", ""ko"")"),"걷는")</f>
        <v>걷는</v>
      </c>
      <c r="C855" s="1">
        <v>17029</v>
      </c>
      <c r="D855" s="1">
        <v>10</v>
      </c>
      <c r="E855" s="1" t="str">
        <f ca="1">IFERROR(__xludf.DUMMYFUNCTION("GOOGLETRANSLATE(E855, ""en"", ""ko"")"),"짐 운반, 50~74poud 짐, 위층")</f>
        <v>짐 운반, 50~74poud 짐, 위층</v>
      </c>
      <c r="M855" s="1"/>
      <c r="O855" s="1"/>
    </row>
    <row r="856" spans="1:15" ht="16.5" customHeight="1">
      <c r="A856" s="1">
        <v>854</v>
      </c>
      <c r="B856" s="1" t="str">
        <f ca="1">IFERROR(__xludf.DUMMYFUNCTION("GOOGLETRANSLATE(B856, ""en"", ""ko"")"),"걷는")</f>
        <v>걷는</v>
      </c>
      <c r="C856" s="1">
        <v>17030</v>
      </c>
      <c r="D856" s="1">
        <v>12</v>
      </c>
      <c r="E856" s="1" t="str">
        <f ca="1">IFERROR(__xludf.DUMMYFUNCTION("GOOGLETRANSLATE(E856, ""en"", ""ko"")"),"짐 운반, 74poud 이상 짐, 위층")</f>
        <v>짐 운반, 74poud 이상 짐, 위층</v>
      </c>
      <c r="M856" s="1"/>
      <c r="O856" s="1"/>
    </row>
    <row r="857" spans="1:15" ht="16.5" customHeight="1">
      <c r="A857" s="1">
        <v>855</v>
      </c>
      <c r="B857" s="1" t="str">
        <f ca="1">IFERROR(__xludf.DUMMYFUNCTION("GOOGLETRANSLATE(B857, ""en"", ""ko"")"),"걷는")</f>
        <v>걷는</v>
      </c>
      <c r="C857" s="1">
        <v>17031</v>
      </c>
      <c r="D857" s="1">
        <v>3.8</v>
      </c>
      <c r="E857" s="1" t="str">
        <f ca="1">IFERROR(__xludf.DUMMYFUNCTION("GOOGLETRANSLATE(E857, ""en"", ""ko"")"),"차량에 짐을 싣거나 내리는 것은 걷는 것을 의미합니다.")</f>
        <v>차량에 짐을 싣거나 내리는 것은 걷는 것을 의미합니다.</v>
      </c>
      <c r="M857" s="1"/>
      <c r="O857" s="1"/>
    </row>
    <row r="858" spans="1:15" ht="16.5" customHeight="1">
      <c r="A858" s="1">
        <v>856</v>
      </c>
      <c r="B858" s="1" t="str">
        <f ca="1">IFERROR(__xludf.DUMMYFUNCTION("GOOGLETRANSLATE(B858, ""en"", ""ko"")"),"걷는")</f>
        <v>걷는</v>
      </c>
      <c r="C858" s="1">
        <v>17032</v>
      </c>
      <c r="D858" s="1">
        <v>5</v>
      </c>
      <c r="E858" s="1" t="str">
        <f ca="1">IFERROR(__xludf.DUMMYFUNCTION("GOOGLETRANSLATE(E858, ""en"", ""ko"")"),"언덕 오르기, 무부하, 5~20% 경사, 매우 느린 속도")</f>
        <v>언덕 오르기, 무부하, 5~20% 경사, 매우 느린 속도</v>
      </c>
      <c r="M858" s="1"/>
      <c r="O858" s="1"/>
    </row>
    <row r="859" spans="1:15" ht="16.5" customHeight="1">
      <c r="A859" s="1">
        <v>857</v>
      </c>
      <c r="B859" s="1" t="str">
        <f ca="1">IFERROR(__xludf.DUMMYFUNCTION("GOOGLETRANSLATE(B859, ""en"", ""ko"")"),"걷는")</f>
        <v>걷는</v>
      </c>
      <c r="C859" s="1">
        <v>17033</v>
      </c>
      <c r="D859" s="1">
        <v>3.8</v>
      </c>
      <c r="E859" s="1" t="str">
        <f ca="1">IFERROR(__xludf.DUMMYFUNCTION("GOOGLETRANSLATE(E859, ""en"", ""ko"")"),"언덕 오르기, 15-50poud 하중, 1-2% 경사, 느린 속도")</f>
        <v>언덕 오르기, 15-50poud 하중, 1-2% 경사, 느린 속도</v>
      </c>
      <c r="M859" s="1"/>
      <c r="O859" s="1"/>
    </row>
    <row r="860" spans="1:15" ht="16.5" customHeight="1">
      <c r="A860" s="1">
        <v>858</v>
      </c>
      <c r="B860" s="1" t="str">
        <f ca="1">IFERROR(__xludf.DUMMYFUNCTION("GOOGLETRANSLATE(B860, ""en"", ""ko"")"),"걷는")</f>
        <v>걷는</v>
      </c>
      <c r="C860" s="1">
        <v>17034</v>
      </c>
      <c r="D860" s="1">
        <v>5.3</v>
      </c>
      <c r="E860" s="1" t="str">
        <f ca="1">IFERROR(__xludf.DUMMYFUNCTION("GOOGLETRANSLATE(E860, ""en"", ""ko"")"),"언덕 오르기, 무부하, 1~5% 경사, 중간~빠른 속도")</f>
        <v>언덕 오르기, 무부하, 1~5% 경사, 중간~빠른 속도</v>
      </c>
      <c r="M860" s="1"/>
      <c r="O860" s="1"/>
    </row>
    <row r="861" spans="1:15" ht="16.5" customHeight="1">
      <c r="A861" s="1">
        <v>859</v>
      </c>
      <c r="B861" s="1" t="str">
        <f ca="1">IFERROR(__xludf.DUMMYFUNCTION("GOOGLETRANSLATE(B861, ""en"", ""ko"")"),"걷는")</f>
        <v>걷는</v>
      </c>
      <c r="C861" s="1">
        <v>17035</v>
      </c>
      <c r="D861" s="1">
        <v>7</v>
      </c>
      <c r="E861" s="1" t="str">
        <f ca="1">IFERROR(__xludf.DUMMYFUNCTION("GOOGLETRANSLATE(E861, ""en"", ""ko"")"),"언덕 오르기, 무부하, 6~10% 경사, 중간~빠른 속도")</f>
        <v>언덕 오르기, 무부하, 6~10% 경사, 중간~빠른 속도</v>
      </c>
      <c r="M861" s="1"/>
      <c r="O861" s="1"/>
    </row>
    <row r="862" spans="1:15" ht="16.5" customHeight="1">
      <c r="A862" s="1">
        <v>860</v>
      </c>
      <c r="B862" s="1" t="str">
        <f ca="1">IFERROR(__xludf.DUMMYFUNCTION("GOOGLETRANSLATE(B862, ""en"", ""ko"")"),"걷는")</f>
        <v>걷는</v>
      </c>
      <c r="C862" s="1">
        <v>17036</v>
      </c>
      <c r="D862" s="1">
        <v>8.8000000000000007</v>
      </c>
      <c r="E862" s="1" t="str">
        <f ca="1">IFERROR(__xludf.DUMMYFUNCTION("GOOGLETRANSLATE(E862, ""en"", ""ko"")"),"언덕 오르기, 무부하, 11~20% 경사, 느리거나 보통 속도")</f>
        <v>언덕 오르기, 무부하, 11~20% 경사, 느리거나 보통 속도</v>
      </c>
      <c r="M862" s="1"/>
      <c r="O862" s="1"/>
    </row>
    <row r="863" spans="1:15" ht="16.5" customHeight="1">
      <c r="A863" s="1">
        <v>861</v>
      </c>
      <c r="B863" s="1" t="str">
        <f ca="1">IFERROR(__xludf.DUMMYFUNCTION("GOOGLETRANSLATE(B863, ""en"", ""ko"")"),"걷는")</f>
        <v>걷는</v>
      </c>
      <c r="C863" s="1">
        <v>17037</v>
      </c>
      <c r="D863" s="1">
        <v>10</v>
      </c>
      <c r="E863" s="1" t="str">
        <f ca="1">IFERROR(__xludf.DUMMYFUNCTION("GOOGLETRANSLATE(E863, ""en"", ""ko"")"),"언덕 오르기, 무부하, 시속 4.0~5.0mile, 경사도 3~5%, 매우 빠른 속도")</f>
        <v>언덕 오르기, 무부하, 시속 4.0~5.0mile, 경사도 3~5%, 매우 빠른 속도</v>
      </c>
      <c r="M863" s="1"/>
      <c r="O863" s="1"/>
    </row>
    <row r="864" spans="1:15" ht="16.5" customHeight="1">
      <c r="A864" s="1">
        <v>862</v>
      </c>
      <c r="B864" s="1" t="str">
        <f ca="1">IFERROR(__xludf.DUMMYFUNCTION("GOOGLETRANSLATE(B864, ""en"", ""ko"")"),"걷는")</f>
        <v>걷는</v>
      </c>
      <c r="C864" s="1">
        <v>17038</v>
      </c>
      <c r="D864" s="1">
        <v>8.5</v>
      </c>
      <c r="E864" s="1" t="str">
        <f ca="1">IFERROR(__xludf.DUMMYFUNCTION("GOOGLETRANSLATE(E864, ""en"", ""ko"")"),"언덕 오르기, 무부하, 가파른 경사(30%), 느린 속도(1.2mph 미만)")</f>
        <v>언덕 오르기, 무부하, 가파른 경사(30%), 느린 속도(1.2mph 미만)</v>
      </c>
      <c r="M864" s="1"/>
      <c r="O864" s="1"/>
    </row>
    <row r="865" spans="1:15" ht="16.5" customHeight="1">
      <c r="A865" s="1">
        <v>863</v>
      </c>
      <c r="B865" s="1" t="str">
        <f ca="1">IFERROR(__xludf.DUMMYFUNCTION("GOOGLETRANSLATE(B865, ""en"", ""ko"")"),"걷는")</f>
        <v>걷는</v>
      </c>
      <c r="C865" s="1">
        <v>17039</v>
      </c>
      <c r="D865" s="1">
        <v>15.5</v>
      </c>
      <c r="E865" s="1" t="str">
        <f ca="1">IFERROR(__xludf.DUMMYFUNCTION("GOOGLETRANSLATE(E865, ""en"", ""ko"")"),"언덕 오르기, 무부하, 매우 가파른 경사(30-40%), 1.2~1.8mph")</f>
        <v>언덕 오르기, 무부하, 매우 가파른 경사(30-40%), 1.2~1.8mph</v>
      </c>
      <c r="M865" s="1"/>
      <c r="O865" s="1"/>
    </row>
    <row r="866" spans="1:15" ht="16.5" customHeight="1">
      <c r="A866" s="1">
        <v>864</v>
      </c>
      <c r="B866" s="1" t="str">
        <f ca="1">IFERROR(__xludf.DUMMYFUNCTION("GOOGLETRANSLATE(B866, ""en"", ""ko"")"),"걷는")</f>
        <v>걷는</v>
      </c>
      <c r="C866" s="1">
        <v>17040</v>
      </c>
      <c r="D866" s="1">
        <v>16.3</v>
      </c>
      <c r="E866" s="1" t="str">
        <f ca="1">IFERROR(__xludf.DUMMYFUNCTION("GOOGLETRANSLATE(E866, ""en"", ""ko"")"),"언덕 오르기, 무부하, 가파른 경사(10-40%), 1.8~5.0mph")</f>
        <v>언덕 오르기, 무부하, 가파른 경사(10-40%), 1.8~5.0mph</v>
      </c>
      <c r="M866" s="1"/>
      <c r="O866" s="1"/>
    </row>
    <row r="867" spans="1:15" ht="16.5" customHeight="1">
      <c r="A867" s="1">
        <v>865</v>
      </c>
      <c r="B867" s="1" t="str">
        <f ca="1">IFERROR(__xludf.DUMMYFUNCTION("GOOGLETRANSLATE(B867, ""en"", ""ko"")"),"걷는")</f>
        <v>걷는</v>
      </c>
      <c r="C867" s="1">
        <v>17045</v>
      </c>
      <c r="D867" s="1">
        <v>6.5</v>
      </c>
      <c r="E867" s="1" t="str">
        <f ca="1">IFERROR(__xludf.DUMMYFUNCTION("GOOGLETRANSLATE(E867, ""en"", ""ko"")"),"언덕 오르기, 10~20poud 하중, 5~10% 경사, 중간")</f>
        <v>언덕 오르기, 10~20poud 하중, 5~10% 경사, 중간</v>
      </c>
      <c r="M867" s="1"/>
      <c r="O867" s="1"/>
    </row>
    <row r="868" spans="1:15" ht="16.5" customHeight="1">
      <c r="A868" s="1">
        <v>866</v>
      </c>
      <c r="B868" s="1" t="str">
        <f ca="1">IFERROR(__xludf.DUMMYFUNCTION("GOOGLETRANSLATE(B868, ""en"", ""ko"")"),"걷는")</f>
        <v>걷는</v>
      </c>
      <c r="C868" s="1">
        <v>17050</v>
      </c>
      <c r="D868" s="1">
        <v>7.5</v>
      </c>
      <c r="E868" s="1" t="str">
        <f ca="1">IFERROR(__xludf.DUMMYFUNCTION("GOOGLETRANSLATE(E868, ""en"", ""ko"")"),"언덕 오르기, 21~40poud 하중, 3~10% 경사, 중간~빠른 속도")</f>
        <v>언덕 오르기, 21~40poud 하중, 3~10% 경사, 중간~빠른 속도</v>
      </c>
      <c r="M868" s="1"/>
      <c r="O868" s="1"/>
    </row>
    <row r="869" spans="1:15" ht="16.5" customHeight="1">
      <c r="A869" s="1">
        <v>867</v>
      </c>
      <c r="B869" s="1" t="str">
        <f ca="1">IFERROR(__xludf.DUMMYFUNCTION("GOOGLETRANSLATE(B869, ""en"", ""ko"")"),"걷는")</f>
        <v>걷는</v>
      </c>
      <c r="C869" s="1">
        <v>17060</v>
      </c>
      <c r="D869" s="1">
        <v>10</v>
      </c>
      <c r="E869" s="1" t="str">
        <f ca="1">IFERROR(__xludf.DUMMYFUNCTION("GOOGLETRANSLATE(E869, ""en"", ""ko"")"),"언덕 오르기, 20poud 이상 하중, 5~20% 경사, 중간~빠른 속도")</f>
        <v>언덕 오르기, 20poud 이상 하중, 5~20% 경사, 중간~빠른 속도</v>
      </c>
      <c r="M869" s="1"/>
      <c r="O869" s="1"/>
    </row>
    <row r="870" spans="1:15" ht="16.5" customHeight="1">
      <c r="A870" s="1">
        <v>868</v>
      </c>
      <c r="B870" s="1" t="str">
        <f ca="1">IFERROR(__xludf.DUMMYFUNCTION("GOOGLETRANSLATE(B870, ""en"", ""ko"")"),"걷는")</f>
        <v>걷는</v>
      </c>
      <c r="C870" s="1">
        <v>17070</v>
      </c>
      <c r="D870" s="1">
        <v>3.5</v>
      </c>
      <c r="E870" s="1" t="str">
        <f ca="1">IFERROR(__xludf.DUMMYFUNCTION("GOOGLETRANSLATE(E870, ""en"", ""ko"")"),"내려가는 계단")</f>
        <v>내려가는 계단</v>
      </c>
      <c r="M870" s="1"/>
      <c r="O870" s="1"/>
    </row>
    <row r="871" spans="1:15" ht="16.5" customHeight="1">
      <c r="A871" s="1">
        <v>869</v>
      </c>
      <c r="B871" s="1" t="str">
        <f ca="1">IFERROR(__xludf.DUMMYFUNCTION("GOOGLETRANSLATE(B871, ""en"", ""ko"")"),"걷는")</f>
        <v>걷는</v>
      </c>
      <c r="C871" s="1">
        <v>17076</v>
      </c>
      <c r="D871" s="1">
        <v>4.5</v>
      </c>
      <c r="E871" s="1" t="str">
        <f ca="1">IFERROR(__xludf.DUMMYFUNCTION("GOOGLETRANSLATE(E871, ""en"", ""ko"")"),"물 끌어올리기, 머리 끌어올리기, 평평한 표면 걷기")</f>
        <v>물 끌어올리기, 머리 끌어올리기, 평평한 표면 걷기</v>
      </c>
      <c r="M871" s="1"/>
      <c r="O871" s="1"/>
    </row>
    <row r="872" spans="1:15" ht="16.5" customHeight="1">
      <c r="A872" s="1">
        <v>870</v>
      </c>
      <c r="B872" s="1" t="str">
        <f ca="1">IFERROR(__xludf.DUMMYFUNCTION("GOOGLETRANSLATE(B872, ""en"", ""ko"")"),"걷는")</f>
        <v>걷는</v>
      </c>
      <c r="C872" s="1">
        <v>17080</v>
      </c>
      <c r="D872" s="1">
        <v>6</v>
      </c>
      <c r="E872" s="1" t="str">
        <f ca="1">IFERROR(__xludf.DUMMYFUNCTION("GOOGLETRANSLATE(E872, ""en"", ""ko"")"),"하이킹, 크로스컨트리")</f>
        <v>하이킹, 크로스컨트리</v>
      </c>
      <c r="M872" s="1"/>
      <c r="O872" s="1"/>
    </row>
    <row r="873" spans="1:15" ht="16.5" customHeight="1">
      <c r="A873" s="1">
        <v>871</v>
      </c>
      <c r="B873" s="1" t="str">
        <f ca="1">IFERROR(__xludf.DUMMYFUNCTION("GOOGLETRANSLATE(B873, ""en"", ""ko"")"),"걷는")</f>
        <v>걷는</v>
      </c>
      <c r="C873" s="1">
        <v>17081</v>
      </c>
      <c r="D873" s="1">
        <v>3.8</v>
      </c>
      <c r="E873" s="1" t="str">
        <f ca="1">IFERROR(__xludf.DUMMYFUNCTION("GOOGLETRANSLATE(E873, ""en"", ""ko"")"),"짐을 싣지 않고 천천히 하이킹하거나 들판과 언덕을 천천히 걸어가세요.")</f>
        <v>짐을 싣지 않고 천천히 하이킹하거나 들판과 언덕을 천천히 걸어가세요.</v>
      </c>
      <c r="M873" s="1"/>
      <c r="O873" s="1"/>
    </row>
    <row r="874" spans="1:15" ht="16.5" customHeight="1">
      <c r="A874" s="1">
        <v>872</v>
      </c>
      <c r="B874" s="1" t="str">
        <f ca="1">IFERROR(__xludf.DUMMYFUNCTION("GOOGLETRANSLATE(B874, ""en"", ""ko"")"),"걷는")</f>
        <v>걷는</v>
      </c>
      <c r="C874" s="1">
        <v>17082</v>
      </c>
      <c r="D874" s="1">
        <v>5.3</v>
      </c>
      <c r="E874" s="1" t="str">
        <f ca="1">IFERROR(__xludf.DUMMYFUNCTION("GOOGLETRANSLATE(E874, ""en"", ""ko"")"),"짐을 싣지 않고 들판과 언덕을 정상적인 속도로 하이킹하거나 걷는 것")</f>
        <v>짐을 싣지 않고 들판과 언덕을 정상적인 속도로 하이킹하거나 걷는 것</v>
      </c>
      <c r="M874" s="1"/>
      <c r="O874" s="1"/>
    </row>
    <row r="875" spans="1:15" ht="16.5" customHeight="1">
      <c r="A875" s="1">
        <v>873</v>
      </c>
      <c r="B875" s="1" t="str">
        <f ca="1">IFERROR(__xludf.DUMMYFUNCTION("GOOGLETRANSLATE(B875, ""en"", ""ko"")"),"걷는")</f>
        <v>걷는</v>
      </c>
      <c r="C875" s="1">
        <v>17085</v>
      </c>
      <c r="D875" s="1">
        <v>2.5</v>
      </c>
      <c r="E875" s="1" t="str">
        <f ca="1">IFERROR(__xludf.DUMMYFUNCTION("GOOGLETRANSLATE(E875, ""en"", ""ko"")"),"조류 관찰, 산책 및 정지")</f>
        <v>조류 관찰, 산책 및 정지</v>
      </c>
      <c r="M875" s="1"/>
      <c r="O875" s="1"/>
    </row>
    <row r="876" spans="1:15" ht="16.5" customHeight="1">
      <c r="A876" s="1">
        <v>874</v>
      </c>
      <c r="B876" s="1" t="str">
        <f ca="1">IFERROR(__xludf.DUMMYFUNCTION("GOOGLETRANSLATE(B876, ""en"", ""ko"")"),"걷는")</f>
        <v>걷는</v>
      </c>
      <c r="C876" s="1">
        <v>17088</v>
      </c>
      <c r="D876" s="1">
        <v>4.5</v>
      </c>
      <c r="E876" s="1" t="str">
        <f ca="1">IFERROR(__xludf.DUMMYFUNCTION("GOOGLETRANSLATE(E876, ""en"", ""ko"")"),"행진, 중간 속도, 군대, 무리 없음")</f>
        <v>행진, 중간 속도, 군대, 무리 없음</v>
      </c>
      <c r="M876" s="1"/>
      <c r="O876" s="1"/>
    </row>
    <row r="877" spans="1:15" ht="16.5" customHeight="1">
      <c r="A877" s="1">
        <v>875</v>
      </c>
      <c r="B877" s="1" t="str">
        <f ca="1">IFERROR(__xludf.DUMMYFUNCTION("GOOGLETRANSLATE(B877, ""en"", ""ko"")"),"걷는")</f>
        <v>걷는</v>
      </c>
      <c r="C877" s="1">
        <v>17090</v>
      </c>
      <c r="D877" s="1">
        <v>8</v>
      </c>
      <c r="E877" s="1" t="str">
        <f ca="1">IFERROR(__xludf.DUMMYFUNCTION("GOOGLETRANSLATE(E877, ""en"", ""ko"")"),"빠르게 행진, 군대, 무리 없음")</f>
        <v>빠르게 행진, 군대, 무리 없음</v>
      </c>
      <c r="M877" s="1"/>
      <c r="O877" s="1"/>
    </row>
    <row r="878" spans="1:15" ht="16.5" customHeight="1">
      <c r="A878" s="1">
        <v>876</v>
      </c>
      <c r="B878" s="1" t="str">
        <f ca="1">IFERROR(__xludf.DUMMYFUNCTION("GOOGLETRANSLATE(B878, ""en"", ""ko"")"),"걷는")</f>
        <v>걷는</v>
      </c>
      <c r="C878" s="1">
        <v>17100</v>
      </c>
      <c r="D878" s="1">
        <v>3.8</v>
      </c>
      <c r="E878" s="1" t="str">
        <f ca="1">IFERROR(__xludf.DUMMYFUNCTION("GOOGLETRANSLATE(E878, ""en"", ""ko"")"),"아이와 함께 유모차를 밀거나 끌거나 아이와 함께 걷는 경우, 시속 2.5~3.1mile")</f>
        <v>아이와 함께 유모차를 밀거나 끌거나 아이와 함께 걷는 경우, 시속 2.5~3.1mile</v>
      </c>
      <c r="M878" s="1"/>
      <c r="O878" s="1"/>
    </row>
    <row r="879" spans="1:15" ht="16.5" customHeight="1">
      <c r="A879" s="1">
        <v>877</v>
      </c>
      <c r="B879" s="1" t="str">
        <f ca="1">IFERROR(__xludf.DUMMYFUNCTION("GOOGLETRANSLATE(B879, ""en"", ""ko"")"),"걷는")</f>
        <v>걷는</v>
      </c>
      <c r="C879" s="1">
        <v>17105</v>
      </c>
      <c r="D879" s="1">
        <v>3.8</v>
      </c>
      <c r="E879" s="1" t="str">
        <f ca="1">IFERROR(__xludf.DUMMYFUNCTION("GOOGLETRANSLATE(E879, ""en"", ""ko"")"),"휠체어를 밀고, 직업이 아닌")</f>
        <v>휠체어를 밀고, 직업이 아닌</v>
      </c>
      <c r="M879" s="1"/>
      <c r="O879" s="1"/>
    </row>
    <row r="880" spans="1:15" ht="16.5" customHeight="1">
      <c r="A880" s="1">
        <v>878</v>
      </c>
      <c r="B880" s="1" t="str">
        <f ca="1">IFERROR(__xludf.DUMMYFUNCTION("GOOGLETRANSLATE(B880, ""en"", ""ko"")"),"걷는")</f>
        <v>걷는</v>
      </c>
      <c r="C880" s="1">
        <v>17110</v>
      </c>
      <c r="D880" s="1">
        <v>6.5</v>
      </c>
      <c r="E880" s="1" t="str">
        <f ca="1">IFERROR(__xludf.DUMMYFUNCTION("GOOGLETRANSLATE(E880, ""en"", ""ko"")"),"경보")</f>
        <v>경보</v>
      </c>
      <c r="M880" s="1"/>
      <c r="O880" s="1"/>
    </row>
    <row r="881" spans="1:15" ht="16.5" customHeight="1">
      <c r="A881" s="1">
        <v>879</v>
      </c>
      <c r="B881" s="1" t="str">
        <f ca="1">IFERROR(__xludf.DUMMYFUNCTION("GOOGLETRANSLATE(B881, ""en"", ""ko"")"),"걷는")</f>
        <v>걷는</v>
      </c>
      <c r="C881" s="1">
        <v>17130</v>
      </c>
      <c r="D881" s="1">
        <v>8</v>
      </c>
      <c r="E881" s="1" t="str">
        <f ca="1">IFERROR(__xludf.DUMMYFUNCTION("GOOGLETRANSLATE(E881, ""en"", ""ko"")"),"계단 오르기, 사다리 사용 또는 오르기")</f>
        <v>계단 오르기, 사다리 사용 또는 오르기</v>
      </c>
      <c r="M881" s="1"/>
      <c r="O881" s="1"/>
    </row>
    <row r="882" spans="1:15" ht="16.5" customHeight="1">
      <c r="A882" s="1">
        <v>880</v>
      </c>
      <c r="B882" s="1" t="str">
        <f ca="1">IFERROR(__xludf.DUMMYFUNCTION("GOOGLETRANSLATE(B882, ""en"", ""ko"")"),"걷는")</f>
        <v>걷는</v>
      </c>
      <c r="C882" s="1">
        <v>17131</v>
      </c>
      <c r="D882" s="1">
        <v>6.8</v>
      </c>
      <c r="E882" s="1" t="str">
        <f ca="1">IFERROR(__xludf.DUMMYFUNCTION("GOOGLETRANSLATE(E882, ""en"", ""ko"")"),"계단 오르기, 일반")</f>
        <v>계단 오르기, 일반</v>
      </c>
      <c r="M882" s="1"/>
      <c r="O882" s="1"/>
    </row>
    <row r="883" spans="1:15" ht="16.5" customHeight="1">
      <c r="A883" s="1">
        <v>881</v>
      </c>
      <c r="B883" s="1" t="str">
        <f ca="1">IFERROR(__xludf.DUMMYFUNCTION("GOOGLETRANSLATE(B883, ""en"", ""ko"")"),"걷는")</f>
        <v>걷는</v>
      </c>
      <c r="C883" s="1">
        <v>17133</v>
      </c>
      <c r="D883" s="1">
        <v>4.5</v>
      </c>
      <c r="E883" s="1" t="str">
        <f ca="1">IFERROR(__xludf.DUMMYFUNCTION("GOOGLETRANSLATE(E883, ""en"", ""ko"")"),"계단 오르기, 느린 속도")</f>
        <v>계단 오르기, 느린 속도</v>
      </c>
      <c r="M883" s="1"/>
      <c r="O883" s="1"/>
    </row>
    <row r="884" spans="1:15" ht="16.5" customHeight="1">
      <c r="A884" s="1">
        <v>882</v>
      </c>
      <c r="B884" s="1" t="str">
        <f ca="1">IFERROR(__xludf.DUMMYFUNCTION("GOOGLETRANSLATE(B884, ""en"", ""ko"")"),"걷는")</f>
        <v>걷는</v>
      </c>
      <c r="C884" s="1">
        <v>17134</v>
      </c>
      <c r="D884" s="1">
        <v>9.3000000000000007</v>
      </c>
      <c r="E884" s="1" t="str">
        <f ca="1">IFERROR(__xludf.DUMMYFUNCTION("GOOGLETRANSLATE(E884, ""en"", ""ko"")"),"계단 오르기, 빠른 속도, 한 ​​번에 한 걸음씩")</f>
        <v>계단 오르기, 빠른 속도, 한 ​​번에 한 걸음씩</v>
      </c>
      <c r="M884" s="1"/>
      <c r="O884" s="1"/>
    </row>
    <row r="885" spans="1:15" ht="16.5" customHeight="1">
      <c r="A885" s="1">
        <v>883</v>
      </c>
      <c r="B885" s="1" t="str">
        <f ca="1">IFERROR(__xludf.DUMMYFUNCTION("GOOGLETRANSLATE(B885, ""en"", ""ko"")"),"걷는")</f>
        <v>걷는</v>
      </c>
      <c r="C885" s="1">
        <v>17136</v>
      </c>
      <c r="D885" s="1">
        <v>7.5</v>
      </c>
      <c r="E885" s="1" t="str">
        <f ca="1">IFERROR(__xludf.DUMMYFUNCTION("GOOGLETRANSLATE(E885, ""en"", ""ko"")"),"계단 오르기, 한 번에 두 계단씩")</f>
        <v>계단 오르기, 한 번에 두 계단씩</v>
      </c>
      <c r="M885" s="1"/>
      <c r="O885" s="1"/>
    </row>
    <row r="886" spans="1:15" ht="16.5" customHeight="1">
      <c r="A886" s="1">
        <v>884</v>
      </c>
      <c r="B886" s="1" t="str">
        <f ca="1">IFERROR(__xludf.DUMMYFUNCTION("GOOGLETRANSLATE(B886, ""en"", ""ko"")"),"걷는")</f>
        <v>걷는</v>
      </c>
      <c r="C886" s="1">
        <v>17138</v>
      </c>
      <c r="D886" s="1">
        <v>7.5</v>
      </c>
      <c r="E886" s="1" t="str">
        <f ca="1">IFERROR(__xludf.DUMMYFUNCTION("GOOGLETRANSLATE(E886, ""en"", ""ko"")"),"계단 오르기, 계단 오르기, 계단 내리기")</f>
        <v>계단 오르기, 계단 오르기, 계단 내리기</v>
      </c>
      <c r="M886" s="1"/>
      <c r="O886" s="1"/>
    </row>
    <row r="887" spans="1:15" ht="16.5" customHeight="1">
      <c r="A887" s="1">
        <v>885</v>
      </c>
      <c r="B887" s="1" t="str">
        <f ca="1">IFERROR(__xludf.DUMMYFUNCTION("GOOGLETRANSLATE(B887, ""en"", ""ko"")"),"걷는")</f>
        <v>걷는</v>
      </c>
      <c r="C887" s="1">
        <v>17140</v>
      </c>
      <c r="D887" s="1">
        <v>4.5</v>
      </c>
      <c r="E887" s="1" t="str">
        <f ca="1">IFERROR(__xludf.DUMMYFUNCTION("GOOGLETRANSLATE(E887, ""en"", ""ko"")"),"목발, 평평한 땅, 일반적인 사용")</f>
        <v>목발, 평평한 땅, 일반적인 사용</v>
      </c>
      <c r="M887" s="1"/>
      <c r="O887" s="1"/>
    </row>
    <row r="888" spans="1:15" ht="16.5" customHeight="1">
      <c r="A888" s="1">
        <v>886</v>
      </c>
      <c r="B888" s="1" t="str">
        <f ca="1">IFERROR(__xludf.DUMMYFUNCTION("GOOGLETRANSLATE(B888, ""en"", ""ko"")"),"걷는")</f>
        <v>걷는</v>
      </c>
      <c r="C888" s="1">
        <v>17142</v>
      </c>
      <c r="D888" s="1">
        <v>7</v>
      </c>
      <c r="E888" s="1" t="str">
        <f ca="1">IFERROR(__xludf.DUMMYFUNCTION("GOOGLETRANSLATE(E888, ""en"", ""ko"")"),"목발을 사용하여 빠른 속도로")</f>
        <v>목발을 사용하여 빠른 속도로</v>
      </c>
      <c r="M888" s="1"/>
      <c r="O888" s="1"/>
    </row>
    <row r="889" spans="1:15" ht="16.5" customHeight="1">
      <c r="A889" s="1">
        <v>887</v>
      </c>
      <c r="B889" s="1" t="str">
        <f ca="1">IFERROR(__xludf.DUMMYFUNCTION("GOOGLETRANSLATE(B889, ""en"", ""ko"")"),"걷는")</f>
        <v>걷는</v>
      </c>
      <c r="C889" s="1">
        <v>17145</v>
      </c>
      <c r="D889" s="1">
        <v>4.3</v>
      </c>
      <c r="E889" s="1" t="str">
        <f ca="1">IFERROR(__xludf.DUMMYFUNCTION("GOOGLETRANSLATE(E889, ""en"", ""ko"")"),"의료용 무릎 스쿠터 사용")</f>
        <v>의료용 무릎 스쿠터 사용</v>
      </c>
      <c r="M889" s="1"/>
      <c r="O889" s="1"/>
    </row>
    <row r="890" spans="1:15" ht="16.5" customHeight="1">
      <c r="A890" s="1">
        <v>888</v>
      </c>
      <c r="B890" s="1" t="str">
        <f ca="1">IFERROR(__xludf.DUMMYFUNCTION("GOOGLETRANSLATE(B890, ""en"", ""ko"")"),"걷는")</f>
        <v>걷는</v>
      </c>
      <c r="C890" s="1">
        <v>17150</v>
      </c>
      <c r="D890" s="1">
        <v>2.2999999999999998</v>
      </c>
      <c r="E890" s="1" t="str">
        <f ca="1">IFERROR(__xludf.DUMMYFUNCTION("GOOGLETRANSLATE(E890, ""en"", ""ko"")"),"걷기, 가정")</f>
        <v>걷기, 가정</v>
      </c>
      <c r="M890" s="1"/>
      <c r="O890" s="1"/>
    </row>
    <row r="891" spans="1:15" ht="16.5" customHeight="1">
      <c r="A891" s="1">
        <v>889</v>
      </c>
      <c r="B891" s="1" t="str">
        <f ca="1">IFERROR(__xludf.DUMMYFUNCTION("GOOGLETRANSLATE(B891, ""en"", ""ko"")"),"걷는")</f>
        <v>걷는</v>
      </c>
      <c r="C891" s="1">
        <v>17151</v>
      </c>
      <c r="D891" s="1">
        <v>2.2999999999999998</v>
      </c>
      <c r="E891" s="1" t="str">
        <f ca="1">IFERROR(__xludf.DUMMYFUNCTION("GOOGLETRANSLATE(E891, ""en"", ""ko"")"),"걷기, 시속 2.0mile 미만, 평지, 산책, 매우 느림")</f>
        <v>걷기, 시속 2.0mile 미만, 평지, 산책, 매우 느림</v>
      </c>
      <c r="M891" s="1"/>
      <c r="O891" s="1"/>
    </row>
    <row r="892" spans="1:15" ht="16.5" customHeight="1">
      <c r="A892" s="1">
        <v>890</v>
      </c>
      <c r="B892" s="1" t="str">
        <f ca="1">IFERROR(__xludf.DUMMYFUNCTION("GOOGLETRANSLATE(B892, ""en"", ""ko"")"),"걷는")</f>
        <v>걷는</v>
      </c>
      <c r="C892" s="1">
        <v>17152</v>
      </c>
      <c r="D892" s="1">
        <v>2.8</v>
      </c>
      <c r="E892" s="1" t="str">
        <f ca="1">IFERROR(__xludf.DUMMYFUNCTION("GOOGLETRANSLATE(E892, ""en"", ""ko"")"),"걷기, 시속 2.0~2.4mile, 평탄하고 느린 속도, 단단한 표면")</f>
        <v>걷기, 시속 2.0~2.4mile, 평탄하고 느린 속도, 단단한 표면</v>
      </c>
      <c r="M892" s="1"/>
      <c r="O892" s="1"/>
    </row>
    <row r="893" spans="1:15" ht="16.5" customHeight="1">
      <c r="A893" s="1">
        <v>891</v>
      </c>
      <c r="B893" s="1" t="str">
        <f ca="1">IFERROR(__xludf.DUMMYFUNCTION("GOOGLETRANSLATE(B893, ""en"", ""ko"")"),"걷는")</f>
        <v>걷는</v>
      </c>
      <c r="C893" s="1">
        <v>17160</v>
      </c>
      <c r="D893" s="1">
        <v>3.5</v>
      </c>
      <c r="E893" s="1" t="str">
        <f ca="1">IFERROR(__xludf.DUMMYFUNCTION("GOOGLETRANSLATE(E893, ""en"", ""ko"")"),"즐거움을 위한 걷기")</f>
        <v>즐거움을 위한 걷기</v>
      </c>
      <c r="M893" s="1"/>
      <c r="O893" s="1"/>
    </row>
    <row r="894" spans="1:15" ht="16.5" customHeight="1">
      <c r="A894" s="1">
        <v>892</v>
      </c>
      <c r="B894" s="1" t="str">
        <f ca="1">IFERROR(__xludf.DUMMYFUNCTION("GOOGLETRANSLATE(B894, ""en"", ""ko"")"),"걷는")</f>
        <v>걷는</v>
      </c>
      <c r="C894" s="1">
        <v>17161</v>
      </c>
      <c r="D894" s="1">
        <v>2.5</v>
      </c>
      <c r="E894" s="1" t="str">
        <f ca="1">IFERROR(__xludf.DUMMYFUNCTION("GOOGLETRANSLATE(E894, ""en"", ""ko"")"),"집에서 차나 버스까지 걸어가기, 차나 버스에서 장소로 이동하기, 차나 버스에서 직장까지 걸어가기")</f>
        <v>집에서 차나 버스까지 걸어가기, 차나 버스에서 장소로 이동하기, 차나 버스에서 직장까지 걸어가기</v>
      </c>
      <c r="M894" s="1"/>
      <c r="O894" s="1"/>
    </row>
    <row r="895" spans="1:15" ht="16.5" customHeight="1">
      <c r="A895" s="1">
        <v>893</v>
      </c>
      <c r="B895" s="1" t="str">
        <f ca="1">IFERROR(__xludf.DUMMYFUNCTION("GOOGLETRANSLATE(B895, ""en"", ""ko"")"),"걷는")</f>
        <v>걷는</v>
      </c>
      <c r="C895" s="1">
        <v>17162</v>
      </c>
      <c r="D895" s="1">
        <v>2.5</v>
      </c>
      <c r="E895" s="1" t="str">
        <f ca="1">IFERROR(__xludf.DUMMYFUNCTION("GOOGLETRANSLATE(E895, ""en"", ""ko"")"),"사회적 이유로 이웃집이나 가족집으로 걸어가는 것")</f>
        <v>사회적 이유로 이웃집이나 가족집으로 걸어가는 것</v>
      </c>
      <c r="M895" s="1"/>
      <c r="O895" s="1"/>
    </row>
    <row r="896" spans="1:15" ht="16.5" customHeight="1">
      <c r="A896" s="1">
        <v>894</v>
      </c>
      <c r="B896" s="1" t="str">
        <f ca="1">IFERROR(__xludf.DUMMYFUNCTION("GOOGLETRANSLATE(B896, ""en"", ""ko"")"),"걷는")</f>
        <v>걷는</v>
      </c>
      <c r="C896" s="1">
        <v>17165</v>
      </c>
      <c r="D896" s="1">
        <v>3</v>
      </c>
      <c r="E896" s="1" t="str">
        <f ca="1">IFERROR(__xludf.DUMMYFUNCTION("GOOGLETRANSLATE(E896, ""en"", ""ko"")"),"개를 산책하다")</f>
        <v>개를 산책하다</v>
      </c>
      <c r="M896" s="1"/>
      <c r="O896" s="1"/>
    </row>
    <row r="897" spans="1:15" ht="16.5" customHeight="1">
      <c r="A897" s="1">
        <v>895</v>
      </c>
      <c r="B897" s="1" t="str">
        <f ca="1">IFERROR(__xludf.DUMMYFUNCTION("GOOGLETRANSLATE(B897, ""en"", ""ko"")"),"걷는")</f>
        <v>걷는</v>
      </c>
      <c r="C897" s="1">
        <v>17170</v>
      </c>
      <c r="D897" s="1">
        <v>3</v>
      </c>
      <c r="E897" s="1" t="str">
        <f ca="1">IFERROR(__xludf.DUMMYFUNCTION("GOOGLETRANSLATE(E897, ""en"", ""ko"")"),"걷기, 시속 2.5mile, 단단하고 평평한 표면")</f>
        <v>걷기, 시속 2.5mile, 단단하고 평평한 표면</v>
      </c>
      <c r="M897" s="1"/>
      <c r="O897" s="1"/>
    </row>
    <row r="898" spans="1:15" ht="16.5" customHeight="1">
      <c r="A898" s="1">
        <v>896</v>
      </c>
      <c r="B898" s="1" t="str">
        <f ca="1">IFERROR(__xludf.DUMMYFUNCTION("GOOGLETRANSLATE(B898, ""en"", ""ko"")"),"걷는")</f>
        <v>걷는</v>
      </c>
      <c r="C898" s="1">
        <v>17180</v>
      </c>
      <c r="D898" s="1">
        <v>3.3</v>
      </c>
      <c r="E898" s="1" t="str">
        <f ca="1">IFERROR(__xludf.DUMMYFUNCTION("GOOGLETRANSLATE(E898, ""en"", ""ko"")"),"걷기, 시속 2.5mile, 내리막길")</f>
        <v>걷기, 시속 2.5mile, 내리막길</v>
      </c>
      <c r="M898" s="1"/>
      <c r="O898" s="1"/>
    </row>
    <row r="899" spans="1:15" ht="16.5" customHeight="1">
      <c r="A899" s="1">
        <v>897</v>
      </c>
      <c r="B899" s="1" t="str">
        <f ca="1">IFERROR(__xludf.DUMMYFUNCTION("GOOGLETRANSLATE(B899, ""en"", ""ko"")"),"걷는")</f>
        <v>걷는</v>
      </c>
      <c r="C899" s="1">
        <v>17190</v>
      </c>
      <c r="D899" s="1">
        <v>3.8</v>
      </c>
      <c r="E899" s="1" t="str">
        <f ca="1">IFERROR(__xludf.DUMMYFUNCTION("GOOGLETRANSLATE(E899, ""en"", ""ko"")"),"걷기, 시속 2.8~3.4mile, 평탄, 중간 속도, 단단한 표면")</f>
        <v>걷기, 시속 2.8~3.4mile, 평탄, 중간 속도, 단단한 표면</v>
      </c>
      <c r="M899" s="1"/>
      <c r="O899" s="1"/>
    </row>
    <row r="900" spans="1:15" ht="16.5" customHeight="1">
      <c r="A900" s="1">
        <v>898</v>
      </c>
      <c r="B900" s="1" t="str">
        <f ca="1">IFERROR(__xludf.DUMMYFUNCTION("GOOGLETRANSLATE(B900, ""en"", ""ko"")"),"걷는")</f>
        <v>걷는</v>
      </c>
      <c r="C900" s="1">
        <v>17200</v>
      </c>
      <c r="D900" s="1">
        <v>4.8</v>
      </c>
      <c r="E900" s="1" t="str">
        <f ca="1">IFERROR(__xludf.DUMMYFUNCTION("GOOGLETRANSLATE(E900, ""en"", ""ko"")"),"걷기, 시속 3.5~3.9mile, 평평하고, 빠르고, 단단한 표면, 운동을 위한 걷기")</f>
        <v>걷기, 시속 3.5~3.9mile, 평평하고, 빠르고, 단단한 표면, 운동을 위한 걷기</v>
      </c>
      <c r="M900" s="1"/>
      <c r="O900" s="1"/>
    </row>
    <row r="901" spans="1:15" ht="16.5" customHeight="1">
      <c r="A901" s="1">
        <v>899</v>
      </c>
      <c r="B901" s="1" t="str">
        <f ca="1">IFERROR(__xludf.DUMMYFUNCTION("GOOGLETRANSLATE(B901, ""en"", ""ko"")"),"걷는")</f>
        <v>걷는</v>
      </c>
      <c r="C901" s="1">
        <v>17220</v>
      </c>
      <c r="D901" s="1">
        <v>5.5</v>
      </c>
      <c r="E901" s="1" t="str">
        <f ca="1">IFERROR(__xludf.DUMMYFUNCTION("GOOGLETRANSLATE(E901, ""en"", ""ko"")"),"걷기, 4.0~4.4mph(6.4~7.0km/h), 평평하고 단단한 표면, 매우 빠른 속도")</f>
        <v>걷기, 4.0~4.4mph(6.4~7.0km/h), 평평하고 단단한 표면, 매우 빠른 속도</v>
      </c>
      <c r="M901" s="1"/>
      <c r="O901" s="1"/>
    </row>
    <row r="902" spans="1:15" ht="16.5" customHeight="1">
      <c r="A902" s="1">
        <v>900</v>
      </c>
      <c r="B902" s="1" t="str">
        <f ca="1">IFERROR(__xludf.DUMMYFUNCTION("GOOGLETRANSLATE(B902, ""en"", ""ko"")"),"걷는")</f>
        <v>걷는</v>
      </c>
      <c r="C902" s="1">
        <v>17230</v>
      </c>
      <c r="D902" s="1">
        <v>7</v>
      </c>
      <c r="E902" s="1" t="str">
        <f ca="1">IFERROR(__xludf.DUMMYFUNCTION("GOOGLETRANSLATE(E902, ""en"", ""ko"")"),"걷기, 시속 4.5~4.9mile, 평평하고 단단한 표면, 매우, 매우 빠름")</f>
        <v>걷기, 시속 4.5~4.9mile, 평평하고 단단한 표면, 매우, 매우 빠름</v>
      </c>
      <c r="M902" s="1"/>
      <c r="O902" s="1"/>
    </row>
    <row r="903" spans="1:15" ht="16.5" customHeight="1">
      <c r="A903" s="1">
        <v>901</v>
      </c>
      <c r="B903" s="1" t="str">
        <f ca="1">IFERROR(__xludf.DUMMYFUNCTION("GOOGLETRANSLATE(B903, ""en"", ""ko"")"),"걷는")</f>
        <v>걷는</v>
      </c>
      <c r="C903" s="1">
        <v>17231</v>
      </c>
      <c r="D903" s="1">
        <v>8.5</v>
      </c>
      <c r="E903" s="1" t="str">
        <f ca="1">IFERROR(__xludf.DUMMYFUNCTION("GOOGLETRANSLATE(E903, ""en"", ""ko"")"),"걷기, 5.0~5.5mph(8.8~8.9km/h), 평평하고 단단한 표면")</f>
        <v>걷기, 5.0~5.5mph(8.8~8.9km/h), 평평하고 단단한 표면</v>
      </c>
      <c r="M903" s="1"/>
      <c r="O903" s="1"/>
    </row>
    <row r="904" spans="1:15" ht="16.5" customHeight="1">
      <c r="A904" s="1">
        <v>902</v>
      </c>
      <c r="B904" s="1" t="str">
        <f ca="1">IFERROR(__xludf.DUMMYFUNCTION("GOOGLETRANSLATE(B904, ""en"", ""ko"")"),"걷는")</f>
        <v>걷는</v>
      </c>
      <c r="C904" s="1">
        <v>17250</v>
      </c>
      <c r="D904" s="1">
        <v>3.5</v>
      </c>
      <c r="E904" s="1" t="str">
        <f ca="1">IFERROR(__xludf.DUMMYFUNCTION("GOOGLETRANSLATE(E904, ""en"", ""ko"")"),"산책, 즐거움, 업무 휴식")</f>
        <v>산책, 즐거움, 업무 휴식</v>
      </c>
      <c r="M904" s="1"/>
      <c r="O904" s="1"/>
    </row>
    <row r="905" spans="1:15" ht="16.5" customHeight="1">
      <c r="A905" s="1">
        <v>903</v>
      </c>
      <c r="B905" s="1" t="str">
        <f ca="1">IFERROR(__xludf.DUMMYFUNCTION("GOOGLETRANSLATE(B905, ""en"", ""ko"")"),"걷는")</f>
        <v>걷는</v>
      </c>
      <c r="C905" s="1">
        <v>17255</v>
      </c>
      <c r="D905" s="1">
        <v>4</v>
      </c>
      <c r="E905" s="1" t="str">
        <f ca="1">IFERROR(__xludf.DUMMYFUNCTION("GOOGLETRANSLATE(E905, ""en"", ""ko"")"),"걷기, 스스로 선택한 속도, 실내 트랙 또는 실외, 단단한 표면")</f>
        <v>걷기, 스스로 선택한 속도, 실내 트랙 또는 실외, 단단한 표면</v>
      </c>
      <c r="M905" s="1"/>
      <c r="O905" s="1"/>
    </row>
    <row r="906" spans="1:15" ht="16.5" customHeight="1">
      <c r="A906" s="1">
        <v>904</v>
      </c>
      <c r="B906" s="1" t="str">
        <f ca="1">IFERROR(__xludf.DUMMYFUNCTION("GOOGLETRANSLATE(B906, ""en"", ""ko"")"),"걷는")</f>
        <v>걷는</v>
      </c>
      <c r="C906" s="1">
        <v>17260</v>
      </c>
      <c r="D906" s="1">
        <v>4.8</v>
      </c>
      <c r="E906" s="1" t="str">
        <f ca="1">IFERROR(__xludf.DUMMYFUNCTION("GOOGLETRANSLATE(E906, ""en"", ""ko"")"),"걷기, 잔디 트랙")</f>
        <v>걷기, 잔디 트랙</v>
      </c>
      <c r="M906" s="1"/>
      <c r="O906" s="1"/>
    </row>
    <row r="907" spans="1:15" ht="16.5" customHeight="1">
      <c r="A907" s="1">
        <v>905</v>
      </c>
      <c r="B907" s="1" t="str">
        <f ca="1">IFERROR(__xludf.DUMMYFUNCTION("GOOGLETRANSLATE(B907, ""en"", ""ko"")"),"걷는")</f>
        <v>걷는</v>
      </c>
      <c r="C907" s="1">
        <v>17262</v>
      </c>
      <c r="D907" s="1">
        <v>4.5</v>
      </c>
      <c r="E907" s="1" t="str">
        <f ca="1">IFERROR(__xludf.DUMMYFUNCTION("GOOGLETRANSLATE(E907, ""en"", ""ko"")"),"걷기, 보통 속도, 갈은 밭이나 모래밭")</f>
        <v>걷기, 보통 속도, 갈은 밭이나 모래밭</v>
      </c>
      <c r="M907" s="1"/>
      <c r="O907" s="1"/>
    </row>
    <row r="908" spans="1:15" ht="16.5" customHeight="1">
      <c r="A908" s="1">
        <v>906</v>
      </c>
      <c r="B908" s="1" t="str">
        <f ca="1">IFERROR(__xludf.DUMMYFUNCTION("GOOGLETRANSLATE(B908, ""en"", ""ko"")"),"걷는")</f>
        <v>걷는</v>
      </c>
      <c r="C908" s="1">
        <v>17270</v>
      </c>
      <c r="D908" s="1">
        <v>4</v>
      </c>
      <c r="E908" s="1" t="str">
        <f ca="1">IFERROR(__xludf.DUMMYFUNCTION("GOOGLETRANSLATE(E908, ""en"", ""ko"")"),"걸어서 출근하거나 수업에 갈 때")</f>
        <v>걸어서 출근하거나 수업에 갈 때</v>
      </c>
      <c r="M908" s="1"/>
      <c r="O908" s="1"/>
    </row>
    <row r="909" spans="1:15" ht="16.5" customHeight="1">
      <c r="A909" s="1">
        <v>907</v>
      </c>
      <c r="B909" s="1" t="str">
        <f ca="1">IFERROR(__xludf.DUMMYFUNCTION("GOOGLETRANSLATE(B909, ""en"", ""ko"")"),"걷는")</f>
        <v>걷는</v>
      </c>
      <c r="C909" s="1">
        <v>17280</v>
      </c>
      <c r="D909" s="1">
        <v>2.5</v>
      </c>
      <c r="E909" s="1" t="str">
        <f ca="1">IFERROR(__xludf.DUMMYFUNCTION("GOOGLETRANSLATE(E909, ""en"", ""ko"")"),"변소까지 걸어가기")</f>
        <v>변소까지 걸어가기</v>
      </c>
      <c r="M909" s="1"/>
      <c r="O909" s="1"/>
    </row>
    <row r="910" spans="1:15" ht="16.5" customHeight="1">
      <c r="A910" s="1">
        <v>908</v>
      </c>
      <c r="B910" s="1" t="str">
        <f ca="1">IFERROR(__xludf.DUMMYFUNCTION("GOOGLETRANSLATE(B910, ""en"", ""ko"")"),"걷는")</f>
        <v>걷는</v>
      </c>
      <c r="C910" s="1">
        <v>17302</v>
      </c>
      <c r="D910" s="1">
        <v>4.3</v>
      </c>
      <c r="E910" s="1" t="str">
        <f ca="1">IFERROR(__xludf.DUMMYFUNCTION("GOOGLETRANSLATE(E910, ""en"", ""ko"")"),"걷기, 운동, 시속 2.5~3.5mile(4.0~5.6km), 스키 폴 사용, 노르딕 워킹, 평지, 중간 속도")</f>
        <v>걷기, 운동, 시속 2.5~3.5mile(4.0~5.6km), 스키 폴 사용, 노르딕 워킹, 평지, 중간 속도</v>
      </c>
      <c r="M910" s="1"/>
      <c r="O910" s="1"/>
    </row>
    <row r="911" spans="1:15" ht="16.5" customHeight="1">
      <c r="A911" s="1">
        <v>909</v>
      </c>
      <c r="B911" s="1" t="str">
        <f ca="1">IFERROR(__xludf.DUMMYFUNCTION("GOOGLETRANSLATE(B911, ""en"", ""ko"")"),"걷는")</f>
        <v>걷는</v>
      </c>
      <c r="C911" s="1">
        <v>17304</v>
      </c>
      <c r="D911" s="1">
        <v>5.3</v>
      </c>
      <c r="E911" s="1" t="str">
        <f ca="1">IFERROR(__xludf.DUMMYFUNCTION("GOOGLETRANSLATE(E911, ""en"", ""ko"")"),"걷기, 운동, 시속 3.6~4.4mile(5.8~7.1km), 스키 폴 사용, 노르딕 워킹, 평지, 중간 속도")</f>
        <v>걷기, 운동, 시속 3.6~4.4mile(5.8~7.1km), 스키 폴 사용, 노르딕 워킹, 평지, 중간 속도</v>
      </c>
      <c r="M911" s="1"/>
      <c r="O911" s="1"/>
    </row>
    <row r="912" spans="1:15" ht="16.5" customHeight="1">
      <c r="A912" s="1">
        <v>910</v>
      </c>
      <c r="B912" s="1" t="str">
        <f ca="1">IFERROR(__xludf.DUMMYFUNCTION("GOOGLETRANSLATE(B912, ""en"", ""ko"")"),"걷는")</f>
        <v>걷는</v>
      </c>
      <c r="C912" s="1">
        <v>17305</v>
      </c>
      <c r="D912" s="1">
        <v>8.5</v>
      </c>
      <c r="E912" s="1" t="str">
        <f ca="1">IFERROR(__xludf.DUMMYFUNCTION("GOOGLETRANSLATE(E912, ""en"", ""ko"")"),"걷기, 운동, 시속 4.5~5.0mile, 스키 폴 사용, 노르딕 워킹, 평지, 빠른 속도")</f>
        <v>걷기, 운동, 시속 4.5~5.0mile, 스키 폴 사용, 노르딕 워킹, 평지, 빠른 속도</v>
      </c>
      <c r="M912" s="1"/>
      <c r="O912" s="1"/>
    </row>
    <row r="913" spans="1:15" ht="16.5" customHeight="1">
      <c r="A913" s="1">
        <v>911</v>
      </c>
      <c r="B913" s="1" t="str">
        <f ca="1">IFERROR(__xludf.DUMMYFUNCTION("GOOGLETRANSLATE(B913, ""en"", ""ko"")"),"걷는")</f>
        <v>걷는</v>
      </c>
      <c r="C913" s="1">
        <v>17310</v>
      </c>
      <c r="D913" s="1">
        <v>8.8000000000000007</v>
      </c>
      <c r="E913" s="1" t="str">
        <f ca="1">IFERROR(__xludf.DUMMYFUNCTION("GOOGLETRANSLATE(E913, ""en"", ""ko"")"),"걷기, 운동, 스키 폴 사용, 노르딕 워킹, 오르막길, 중간 속도")</f>
        <v>걷기, 운동, 스키 폴 사용, 노르딕 워킹, 오르막길, 중간 속도</v>
      </c>
      <c r="M913" s="1"/>
      <c r="O913" s="1"/>
    </row>
    <row r="914" spans="1:15" ht="16.5" customHeight="1">
      <c r="A914" s="1">
        <v>912</v>
      </c>
      <c r="B914" s="1" t="str">
        <f ca="1">IFERROR(__xludf.DUMMYFUNCTION("GOOGLETRANSLATE(B914, ""en"", ""ko"")"),"걷는")</f>
        <v>걷는</v>
      </c>
      <c r="C914" s="1">
        <v>17313</v>
      </c>
      <c r="D914" s="1">
        <v>10.8</v>
      </c>
      <c r="E914" s="1" t="str">
        <f ca="1">IFERROR(__xludf.DUMMYFUNCTION("GOOGLETRANSLATE(E914, ""en"", ""ko"")"),"걷기, 운동, 스키 폴 사용, 노르딕 워킹, 평지, 20~30poud(9.0~15.0kg)의 짐을 들고")</f>
        <v>걷기, 운동, 스키 폴 사용, 노르딕 워킹, 평지, 20~30poud(9.0~15.0kg)의 짐을 들고</v>
      </c>
      <c r="M914" s="1"/>
      <c r="O914" s="1"/>
    </row>
    <row r="915" spans="1:15" ht="16.5" customHeight="1">
      <c r="A915" s="1">
        <v>913</v>
      </c>
      <c r="B915" s="1" t="str">
        <f ca="1">IFERROR(__xludf.DUMMYFUNCTION("GOOGLETRANSLATE(B915, ""en"", ""ko"")"),"걷는")</f>
        <v>걷는</v>
      </c>
      <c r="C915" s="1">
        <v>17315</v>
      </c>
      <c r="D915" s="1">
        <v>12.3</v>
      </c>
      <c r="E915" s="1" t="str">
        <f ca="1">IFERROR(__xludf.DUMMYFUNCTION("GOOGLETRANSLATE(E915, ""en"", ""ko"")"),"걷기, 운동, 스키 폴 사용, 노르딕 워킹, 오르막길, 20~30poud(9.0~15.0kg)의 짐 운반")</f>
        <v>걷기, 운동, 스키 폴 사용, 노르딕 워킹, 오르막길, 20~30poud(9.0~15.0kg)의 짐 운반</v>
      </c>
      <c r="M915" s="1"/>
      <c r="O915" s="1"/>
    </row>
    <row r="916" spans="1:15" ht="16.5" customHeight="1">
      <c r="A916" s="1">
        <v>914</v>
      </c>
      <c r="B916" s="1" t="str">
        <f ca="1">IFERROR(__xludf.DUMMYFUNCTION("GOOGLETRANSLATE(B916, ""en"", ""ko"")"),"걷는")</f>
        <v>걷는</v>
      </c>
      <c r="C916" s="1">
        <v>17320</v>
      </c>
      <c r="D916" s="1">
        <v>6</v>
      </c>
      <c r="E916" s="1" t="str">
        <f ca="1">IFERROR(__xludf.DUMMYFUNCTION("GOOGLETRANSLATE(E916, ""en"", ""ko"")"),"걷기, 뒤로, 3.5mph, 수평")</f>
        <v>걷기, 뒤로, 3.5mph, 수평</v>
      </c>
      <c r="M916" s="1"/>
      <c r="O916" s="1"/>
    </row>
    <row r="917" spans="1:15" ht="16.5" customHeight="1">
      <c r="A917" s="1">
        <v>915</v>
      </c>
      <c r="B917" s="1" t="str">
        <f ca="1">IFERROR(__xludf.DUMMYFUNCTION("GOOGLETRANSLATE(B917, ""en"", ""ko"")"),"걷는")</f>
        <v>걷는</v>
      </c>
      <c r="C917" s="1">
        <v>17325</v>
      </c>
      <c r="D917" s="1">
        <v>7.8</v>
      </c>
      <c r="E917" s="1" t="str">
        <f ca="1">IFERROR(__xludf.DUMMYFUNCTION("GOOGLETRANSLATE(E917, ""en"", ""ko"")"),"걷기, 뒤로, 3.5mph, 오르막, 5% 경사")</f>
        <v>걷기, 뒤로, 3.5mph, 오르막, 5% 경사</v>
      </c>
      <c r="M917" s="1"/>
      <c r="O917" s="1"/>
    </row>
    <row r="918" spans="1:15" ht="16.5" customHeight="1">
      <c r="A918" s="1">
        <v>916</v>
      </c>
      <c r="B918" s="1" t="str">
        <f ca="1">IFERROR(__xludf.DUMMYFUNCTION("GOOGLETRANSLATE(B918, ""en"", ""ko"")"),"걷는")</f>
        <v>걷는</v>
      </c>
      <c r="C918" s="1">
        <v>17330</v>
      </c>
      <c r="D918" s="1">
        <v>8</v>
      </c>
      <c r="E918" s="1" t="str">
        <f ca="1">IFERROR(__xludf.DUMMYFUNCTION("GOOGLETRANSLATE(E918, ""en"", ""ko"")"),"걷기, 티백 산책, 몬티 파이썬의 어리석은 산책 사역")</f>
        <v>걷기, 티백 산책, 몬티 파이썬의 어리석은 산책 사역</v>
      </c>
      <c r="M918" s="1"/>
      <c r="O918" s="1"/>
    </row>
    <row r="919" spans="1:15" ht="16.5" customHeight="1">
      <c r="A919" s="1">
        <v>917</v>
      </c>
      <c r="B919" s="1" t="str">
        <f ca="1">IFERROR(__xludf.DUMMYFUNCTION("GOOGLETRANSLATE(B919, ""en"", ""ko"")"),"걷는")</f>
        <v>걷는</v>
      </c>
      <c r="C919" s="1">
        <v>17332</v>
      </c>
      <c r="D919" s="1">
        <v>3.5</v>
      </c>
      <c r="E919" s="1" t="str">
        <f ca="1">IFERROR(__xludf.DUMMYFUNCTION("GOOGLETRANSLATE(E919, ""en"", ""ko"")"),"걷기, 퍼티 워크, 몬티 파이썬 실리 워크 사역")</f>
        <v>걷기, 퍼티 워크, 몬티 파이썬 실리 워크 사역</v>
      </c>
      <c r="M919" s="1"/>
      <c r="O919" s="1"/>
    </row>
    <row r="920" spans="1:15" ht="16.5" customHeight="1">
      <c r="A920" s="1">
        <v>918</v>
      </c>
      <c r="B920" s="1" t="str">
        <f ca="1">IFERROR(__xludf.DUMMYFUNCTION("GOOGLETRANSLATE(B920, ""en"", ""ko"")"),"걷는")</f>
        <v>걷는</v>
      </c>
      <c r="C920" s="1">
        <v>17340</v>
      </c>
      <c r="D920" s="1">
        <v>2.1</v>
      </c>
      <c r="E920" s="1" t="str">
        <f ca="1">IFERROR(__xludf.DUMMYFUNCTION("GOOGLETRANSLATE(E920, ""en"", ""ko"")"),"걷기, 러닝머신, 시속 1.0mile 미만, 경사도 0%")</f>
        <v>걷기, 러닝머신, 시속 1.0mile 미만, 경사도 0%</v>
      </c>
      <c r="M920" s="1"/>
      <c r="O920" s="1"/>
    </row>
    <row r="921" spans="1:15" ht="16.5" customHeight="1">
      <c r="A921" s="1">
        <v>919</v>
      </c>
      <c r="B921" s="1" t="str">
        <f ca="1">IFERROR(__xludf.DUMMYFUNCTION("GOOGLETRANSLATE(B921, ""en"", ""ko"")"),"걷는")</f>
        <v>걷는</v>
      </c>
      <c r="C921" s="1">
        <v>17343</v>
      </c>
      <c r="D921" s="1">
        <v>2.2999999999999998</v>
      </c>
      <c r="E921" s="1" t="str">
        <f ca="1">IFERROR(__xludf.DUMMYFUNCTION("GOOGLETRANSLATE(E921, ""en"", ""ko"")"),"걷기, 러닝머신, 시속 1.0mile, 경사도 0%")</f>
        <v>걷기, 러닝머신, 시속 1.0mile, 경사도 0%</v>
      </c>
      <c r="M921" s="1"/>
      <c r="O921" s="1"/>
    </row>
    <row r="922" spans="1:15" ht="16.5" customHeight="1">
      <c r="A922" s="1">
        <v>920</v>
      </c>
      <c r="B922" s="1" t="str">
        <f ca="1">IFERROR(__xludf.DUMMYFUNCTION("GOOGLETRANSLATE(B922, ""en"", ""ko"")"),"걷는")</f>
        <v>걷는</v>
      </c>
      <c r="C922" s="1">
        <v>17346</v>
      </c>
      <c r="D922" s="1">
        <v>2.8</v>
      </c>
      <c r="E922" s="1" t="str">
        <f ca="1">IFERROR(__xludf.DUMMYFUNCTION("GOOGLETRANSLATE(E922, ""en"", ""ko"")"),"걷기, 러닝머신, 1.2~1.9mph, 경사 0%(1.9~3.0km/h)")</f>
        <v>걷기, 러닝머신, 1.2~1.9mph, 경사 0%(1.9~3.0km/h)</v>
      </c>
      <c r="M922" s="1"/>
      <c r="O922" s="1"/>
    </row>
    <row r="923" spans="1:15" ht="16.5" customHeight="1">
      <c r="A923" s="1">
        <v>921</v>
      </c>
      <c r="B923" s="1" t="str">
        <f ca="1">IFERROR(__xludf.DUMMYFUNCTION("GOOGLETRANSLATE(B923, ""en"", ""ko"")"),"걷는")</f>
        <v>걷는</v>
      </c>
      <c r="C923" s="1">
        <v>17349</v>
      </c>
      <c r="D923" s="1">
        <v>3</v>
      </c>
      <c r="E923" s="1" t="str">
        <f ca="1">IFERROR(__xludf.DUMMYFUNCTION("GOOGLETRANSLATE(E923, ""en"", ""ko"")"),"걷기, 러닝머신, 2.0~2.4mph(3.2~3.9km/h), 경사도 0%")</f>
        <v>걷기, 러닝머신, 2.0~2.4mph(3.2~3.9km/h), 경사도 0%</v>
      </c>
      <c r="M923" s="1"/>
      <c r="O923" s="1"/>
    </row>
    <row r="924" spans="1:15" ht="16.5" customHeight="1">
      <c r="A924" s="1">
        <v>922</v>
      </c>
      <c r="B924" s="1" t="str">
        <f ca="1">IFERROR(__xludf.DUMMYFUNCTION("GOOGLETRANSLATE(B924, ""en"", ""ko"")"),"걷는")</f>
        <v>걷는</v>
      </c>
      <c r="C924" s="1">
        <v>17352</v>
      </c>
      <c r="D924" s="1">
        <v>3.5</v>
      </c>
      <c r="E924" s="1" t="str">
        <f ca="1">IFERROR(__xludf.DUMMYFUNCTION("GOOGLETRANSLATE(E924, ""en"", ""ko"")"),"걷기, 러닝머신, 2.5~2.9mph(4.0~4.7km/h), 경사도 0%")</f>
        <v>걷기, 러닝머신, 2.5~2.9mph(4.0~4.7km/h), 경사도 0%</v>
      </c>
      <c r="M924" s="1"/>
      <c r="O924" s="1"/>
    </row>
    <row r="925" spans="1:15" ht="16.5" customHeight="1">
      <c r="A925" s="1">
        <v>923</v>
      </c>
      <c r="B925" s="1" t="str">
        <f ca="1">IFERROR(__xludf.DUMMYFUNCTION("GOOGLETRANSLATE(B925, ""en"", ""ko"")"),"걷는")</f>
        <v>걷는</v>
      </c>
      <c r="C925" s="1">
        <v>17355</v>
      </c>
      <c r="D925" s="1">
        <v>3.8</v>
      </c>
      <c r="E925" s="1" t="str">
        <f ca="1">IFERROR(__xludf.DUMMYFUNCTION("GOOGLETRANSLATE(E925, ""en"", ""ko"")"),"걷기, 러닝머신, 3.0~3.4mph(4.8~5.5km/h), 경사도 0%")</f>
        <v>걷기, 러닝머신, 3.0~3.4mph(4.8~5.5km/h), 경사도 0%</v>
      </c>
      <c r="M925" s="1"/>
      <c r="O925" s="1"/>
    </row>
    <row r="926" spans="1:15" ht="16.5" customHeight="1">
      <c r="A926" s="1">
        <v>924</v>
      </c>
      <c r="B926" s="1" t="str">
        <f ca="1">IFERROR(__xludf.DUMMYFUNCTION("GOOGLETRANSLATE(B926, ""en"", ""ko"")"),"걷는")</f>
        <v>걷는</v>
      </c>
      <c r="C926" s="1">
        <v>17358</v>
      </c>
      <c r="D926" s="1">
        <v>4.8</v>
      </c>
      <c r="E926" s="1" t="str">
        <f ca="1">IFERROR(__xludf.DUMMYFUNCTION("GOOGLETRANSLATE(E926, ""en"", ""ko"")"),"걷기, 러닝머신, 3.5~3.9mph(5.6~6.3km/h), 경사도 0%")</f>
        <v>걷기, 러닝머신, 3.5~3.9mph(5.6~6.3km/h), 경사도 0%</v>
      </c>
      <c r="M926" s="1"/>
      <c r="O926" s="1"/>
    </row>
    <row r="927" spans="1:15" ht="16.5" customHeight="1">
      <c r="A927" s="1">
        <v>925</v>
      </c>
      <c r="B927" s="1" t="str">
        <f ca="1">IFERROR(__xludf.DUMMYFUNCTION("GOOGLETRANSLATE(B927, ""en"", ""ko"")"),"걷는")</f>
        <v>걷는</v>
      </c>
      <c r="C927" s="1">
        <v>17361</v>
      </c>
      <c r="D927" s="1">
        <v>5.8</v>
      </c>
      <c r="E927" s="1" t="str">
        <f ca="1">IFERROR(__xludf.DUMMYFUNCTION("GOOGLETRANSLATE(E927, ""en"", ""ko"")"),"걷기, 러닝머신, 4.0~4.4mph(6.4~7.1km/h), 경사도 0%")</f>
        <v>걷기, 러닝머신, 4.0~4.4mph(6.4~7.1km/h), 경사도 0%</v>
      </c>
      <c r="M927" s="1"/>
      <c r="O927" s="1"/>
    </row>
    <row r="928" spans="1:15" ht="16.5" customHeight="1">
      <c r="A928" s="1">
        <v>926</v>
      </c>
      <c r="B928" s="1" t="str">
        <f ca="1">IFERROR(__xludf.DUMMYFUNCTION("GOOGLETRANSLATE(B928, ""en"", ""ko"")"),"걷는")</f>
        <v>걷는</v>
      </c>
      <c r="C928" s="1">
        <v>17364</v>
      </c>
      <c r="D928" s="1">
        <v>6.8</v>
      </c>
      <c r="E928" s="1" t="str">
        <f ca="1">IFERROR(__xludf.DUMMYFUNCTION("GOOGLETRANSLATE(E928, ""en"", ""ko"")"),"걷기, 러닝머신, 4.5~4.9mph(7.2~7.9km/h), 경사도 0%")</f>
        <v>걷기, 러닝머신, 4.5~4.9mph(7.2~7.9km/h), 경사도 0%</v>
      </c>
      <c r="M928" s="1"/>
      <c r="O928" s="1"/>
    </row>
    <row r="929" spans="1:15" ht="16.5" customHeight="1">
      <c r="A929" s="1">
        <v>927</v>
      </c>
      <c r="B929" s="1" t="str">
        <f ca="1">IFERROR(__xludf.DUMMYFUNCTION("GOOGLETRANSLATE(B929, ""en"", ""ko"")"),"걷는")</f>
        <v>걷는</v>
      </c>
      <c r="C929" s="1">
        <v>17367</v>
      </c>
      <c r="D929" s="1">
        <v>8.3000000000000007</v>
      </c>
      <c r="E929" s="1" t="str">
        <f ca="1">IFERROR(__xludf.DUMMYFUNCTION("GOOGLETRANSLATE(E929, ""en"", ""ko"")"),"걷기, 러닝머신, 5.0~5.5mph(8.0~8.9km/h), 경사도 0%")</f>
        <v>걷기, 러닝머신, 5.0~5.5mph(8.0~8.9km/h), 경사도 0%</v>
      </c>
      <c r="M929" s="1"/>
      <c r="O929" s="1"/>
    </row>
    <row r="930" spans="1:15" ht="16.5" customHeight="1">
      <c r="A930" s="1">
        <v>928</v>
      </c>
      <c r="B930" s="1" t="str">
        <f ca="1">IFERROR(__xludf.DUMMYFUNCTION("GOOGLETRANSLATE(B930, ""en"", ""ko"")"),"걷는")</f>
        <v>걷는</v>
      </c>
      <c r="C930" s="1">
        <v>17382</v>
      </c>
      <c r="D930" s="1">
        <v>3.3</v>
      </c>
      <c r="E930" s="1" t="str">
        <f ca="1">IFERROR(__xludf.DUMMYFUNCTION("GOOGLETRANSLATE(E930, ""en"", ""ko"")"),"걷기, 러닝머신, 내리막길(-3% ~ -12% 경사), 2.8 ~ 3.1mph")</f>
        <v>걷기, 러닝머신, 내리막길(-3% ~ -12% 경사), 2.8 ~ 3.1mph</v>
      </c>
      <c r="M930" s="1"/>
      <c r="O930" s="1"/>
    </row>
    <row r="931" spans="1:15" ht="16.5" customHeight="1">
      <c r="A931" s="1">
        <v>929</v>
      </c>
      <c r="B931" s="1" t="str">
        <f ca="1">IFERROR(__xludf.DUMMYFUNCTION("GOOGLETRANSLATE(B931, ""en"", ""ko"")"),"걷는")</f>
        <v>걷는</v>
      </c>
      <c r="C931" s="1">
        <v>17412</v>
      </c>
      <c r="D931" s="1">
        <v>3.3</v>
      </c>
      <c r="E931" s="1" t="str">
        <f ca="1">IFERROR(__xludf.DUMMYFUNCTION("GOOGLETRANSLATE(E931, ""en"", ""ko"")"),"걷기, 러닝머신, 내리막길(-5% ~ -25% 경사), 2.8mph, 노르딕 폴 사용")</f>
        <v>걷기, 러닝머신, 내리막길(-5% ~ -25% 경사), 2.8mph, 노르딕 폴 사용</v>
      </c>
      <c r="M931" s="1"/>
      <c r="O931" s="1"/>
    </row>
    <row r="932" spans="1:15" ht="16.5" customHeight="1">
      <c r="A932" s="1">
        <v>930</v>
      </c>
      <c r="B932" s="1" t="str">
        <f ca="1">IFERROR(__xludf.DUMMYFUNCTION("GOOGLETRANSLATE(B932, ""en"", ""ko"")"),"걷는")</f>
        <v>걷는</v>
      </c>
      <c r="C932" s="1">
        <v>17434</v>
      </c>
      <c r="D932" s="1">
        <v>4.8</v>
      </c>
      <c r="E932" s="1" t="str">
        <f ca="1">IFERROR(__xludf.DUMMYFUNCTION("GOOGLETRANSLATE(E932, ""en"", ""ko"")"),"걷기, 러닝머신, 시속 2.5mile, 경사도 0%, 섭씨 5~20도, 하중 40poud(18.2kg)")</f>
        <v>걷기, 러닝머신, 시속 2.5mile, 경사도 0%, 섭씨 5~20도, 하중 40poud(18.2kg)</v>
      </c>
      <c r="M932" s="1"/>
      <c r="O932" s="1"/>
    </row>
    <row r="933" spans="1:15" ht="16.5" customHeight="1">
      <c r="A933" s="1">
        <v>931</v>
      </c>
      <c r="B933" s="1" t="str">
        <f ca="1">IFERROR(__xludf.DUMMYFUNCTION("GOOGLETRANSLATE(B933, ""en"", ""ko"")"),"걷는")</f>
        <v>걷는</v>
      </c>
      <c r="C933" s="1">
        <v>17438</v>
      </c>
      <c r="D933" s="1">
        <v>5.8</v>
      </c>
      <c r="E933" s="1" t="str">
        <f ca="1">IFERROR(__xludf.DUMMYFUNCTION("GOOGLETRANSLATE(E933, ""en"", ""ko"")"),"걷기, 러닝머신, 시속 2.5mile, 경사도 0%, -10~0도 C, 하중 40poud(18.2kg)")</f>
        <v>걷기, 러닝머신, 시속 2.5mile, 경사도 0%, -10~0도 C, 하중 40poud(18.2kg)</v>
      </c>
      <c r="M933" s="1"/>
      <c r="O933" s="1"/>
    </row>
    <row r="934" spans="1:15" ht="16.5" customHeight="1">
      <c r="A934" s="1">
        <v>932</v>
      </c>
      <c r="B934" s="1" t="str">
        <f ca="1">IFERROR(__xludf.DUMMYFUNCTION("GOOGLETRANSLATE(B934, ""en"", ""ko"")"),"걷는")</f>
        <v>걷는</v>
      </c>
      <c r="C934" s="1">
        <v>17455</v>
      </c>
      <c r="D934" s="1">
        <v>8.3000000000000007</v>
      </c>
      <c r="E934" s="1" t="str">
        <f ca="1">IFERROR(__xludf.DUMMYFUNCTION("GOOGLETRANSLATE(E934, ""en"", ""ko"")"),"걷기, 곡선 러닝머신, 3.0~5.0mph, 빠른 속도")</f>
        <v>걷기, 곡선 러닝머신, 3.0~5.0mph, 빠른 속도</v>
      </c>
      <c r="M934" s="1"/>
      <c r="O934" s="1"/>
    </row>
    <row r="935" spans="1:15" ht="16.5" customHeight="1">
      <c r="A935" s="1">
        <v>933</v>
      </c>
      <c r="B935" s="1" t="str">
        <f ca="1">IFERROR(__xludf.DUMMYFUNCTION("GOOGLETRANSLATE(B935, ""en"", ""ko"")"),"걷는")</f>
        <v>걷는</v>
      </c>
      <c r="C935" s="1">
        <v>17475</v>
      </c>
      <c r="D935" s="1">
        <v>7.8</v>
      </c>
      <c r="E935" s="1" t="str">
        <f ca="1">IFERROR(__xludf.DUMMYFUNCTION("GOOGLETRANSLATE(E935, ""en"", ""ko"")"),"워킹 트레드밀, 뒤로, 2.5mph, +10% 경사")</f>
        <v>워킹 트레드밀, 뒤로, 2.5mph, +10% 경사</v>
      </c>
      <c r="M935" s="1"/>
      <c r="O935" s="1"/>
    </row>
    <row r="936" spans="1:15" ht="16.5" customHeight="1">
      <c r="A936" s="1">
        <v>934</v>
      </c>
      <c r="B936" s="1" t="str">
        <f ca="1">IFERROR(__xludf.DUMMYFUNCTION("GOOGLETRANSLATE(B936, ""en"", ""ko"")"),"걷는")</f>
        <v>걷는</v>
      </c>
      <c r="C936" s="1">
        <v>17492</v>
      </c>
      <c r="D936" s="1">
        <v>1.5</v>
      </c>
      <c r="E936" s="1" t="str">
        <f ca="1">IFERROR(__xludf.DUMMYFUNCTION("GOOGLETRANSLATE(E936, ""en"", ""ko"")"),"걷기, 워커 또는 스텝 투 게인을 사용하여 러닝머신에서 걷기, 0.7mph(1.1km/h), 경사도 0%")</f>
        <v>걷기, 워커 또는 스텝 투 게인을 사용하여 러닝머신에서 걷기, 0.7mph(1.1km/h), 경사도 0%</v>
      </c>
      <c r="M936" s="1"/>
      <c r="O936" s="1"/>
    </row>
    <row r="937" spans="1:15" ht="16.5" customHeight="1">
      <c r="A937" s="1">
        <v>935</v>
      </c>
      <c r="B937" s="1" t="str">
        <f ca="1">IFERROR(__xludf.DUMMYFUNCTION("GOOGLETRANSLATE(B937, ""en"", ""ko"")"),"수상 활동")</f>
        <v>수상 활동</v>
      </c>
      <c r="C937" s="1">
        <v>18010</v>
      </c>
      <c r="D937" s="1">
        <v>2.5</v>
      </c>
      <c r="E937" s="1" t="str">
        <f ca="1">IFERROR(__xludf.DUMMYFUNCTION("GOOGLETRANSLATE(E937, ""en"", ""ko"")"),"보트 타기, 파워, 운전")</f>
        <v>보트 타기, 파워, 운전</v>
      </c>
      <c r="M937" s="1"/>
      <c r="O937" s="1"/>
    </row>
    <row r="938" spans="1:15" ht="16.5" customHeight="1">
      <c r="A938" s="1">
        <v>936</v>
      </c>
      <c r="B938" s="1" t="str">
        <f ca="1">IFERROR(__xludf.DUMMYFUNCTION("GOOGLETRANSLATE(B938, ""en"", ""ko"")"),"수상 활동")</f>
        <v>수상 활동</v>
      </c>
      <c r="C938" s="1">
        <v>18012</v>
      </c>
      <c r="D938" s="1">
        <v>1.3</v>
      </c>
      <c r="E938" s="1" t="str">
        <f ca="1">IFERROR(__xludf.DUMMYFUNCTION("GOOGLETRANSLATE(E938, ""en"", ""ko"")"),"보트, 동력, 승객, 조명")</f>
        <v>보트, 동력, 승객, 조명</v>
      </c>
      <c r="M938" s="1"/>
      <c r="O938" s="1"/>
    </row>
    <row r="939" spans="1:15" ht="16.5" customHeight="1">
      <c r="A939" s="1">
        <v>937</v>
      </c>
      <c r="B939" s="1" t="str">
        <f ca="1">IFERROR(__xludf.DUMMYFUNCTION("GOOGLETRANSLATE(B939, ""en"", ""ko"")"),"수상 활동")</f>
        <v>수상 활동</v>
      </c>
      <c r="C939" s="1">
        <v>18020</v>
      </c>
      <c r="D939" s="1">
        <v>4</v>
      </c>
      <c r="E939" s="1" t="str">
        <f ca="1">IFERROR(__xludf.DUMMYFUNCTION("GOOGLETRANSLATE(E939, ""en"", ""ko"")"),"카누 타기, 캠핑 여행")</f>
        <v>카누 타기, 캠핑 여행</v>
      </c>
      <c r="M939" s="1"/>
      <c r="O939" s="1"/>
    </row>
    <row r="940" spans="1:15" ht="16.5" customHeight="1">
      <c r="A940" s="1">
        <v>938</v>
      </c>
      <c r="B940" s="1" t="str">
        <f ca="1">IFERROR(__xludf.DUMMYFUNCTION("GOOGLETRANSLATE(B940, ""en"", ""ko"")"),"수상 활동")</f>
        <v>수상 활동</v>
      </c>
      <c r="C940" s="1">
        <v>18025</v>
      </c>
      <c r="D940" s="1">
        <v>3.3</v>
      </c>
      <c r="E940" s="1" t="str">
        <f ca="1">IFERROR(__xludf.DUMMYFUNCTION("GOOGLETRANSLATE(E940, ""en"", ""ko"")"),"카누 타기, 야생벼 수확, 벼 줄기에서 벼 떨어뜨리기")</f>
        <v>카누 타기, 야생벼 수확, 벼 줄기에서 벼 떨어뜨리기</v>
      </c>
      <c r="M940" s="1"/>
      <c r="O940" s="1"/>
    </row>
    <row r="941" spans="1:15" ht="16.5" customHeight="1">
      <c r="A941" s="1">
        <v>939</v>
      </c>
      <c r="B941" s="1" t="str">
        <f ca="1">IFERROR(__xludf.DUMMYFUNCTION("GOOGLETRANSLATE(B941, ""en"", ""ko"")"),"수상 활동")</f>
        <v>수상 활동</v>
      </c>
      <c r="C941" s="1">
        <v>18030</v>
      </c>
      <c r="D941" s="1">
        <v>7</v>
      </c>
      <c r="E941" s="1" t="str">
        <f ca="1">IFERROR(__xludf.DUMMYFUNCTION("GOOGLETRANSLATE(E941, ""en"", ""ko"")"),"카누, 포티징")</f>
        <v>카누, 포티징</v>
      </c>
      <c r="M941" s="1"/>
      <c r="O941" s="1"/>
    </row>
    <row r="942" spans="1:15" ht="16.5" customHeight="1">
      <c r="A942" s="1">
        <v>940</v>
      </c>
      <c r="B942" s="1" t="str">
        <f ca="1">IFERROR(__xludf.DUMMYFUNCTION("GOOGLETRANSLATE(B942, ""en"", ""ko"")"),"수상 활동")</f>
        <v>수상 활동</v>
      </c>
      <c r="C942" s="1">
        <v>18040</v>
      </c>
      <c r="D942" s="1">
        <v>2.8</v>
      </c>
      <c r="E942" s="1" t="str">
        <f ca="1">IFERROR(__xludf.DUMMYFUNCTION("GOOGLETRANSLATE(E942, ""en"", ""ko"")"),"카누, 로잉, 2.0-3.9mph, 가벼운 노력")</f>
        <v>카누, 로잉, 2.0-3.9mph, 가벼운 노력</v>
      </c>
      <c r="M942" s="1"/>
      <c r="O942" s="1"/>
    </row>
    <row r="943" spans="1:15" ht="16.5" customHeight="1">
      <c r="A943" s="1">
        <v>941</v>
      </c>
      <c r="B943" s="1" t="str">
        <f ca="1">IFERROR(__xludf.DUMMYFUNCTION("GOOGLETRANSLATE(B943, ""en"", ""ko"")"),"수상 활동")</f>
        <v>수상 활동</v>
      </c>
      <c r="C943" s="1">
        <v>18050</v>
      </c>
      <c r="D943" s="1">
        <v>5.8</v>
      </c>
      <c r="E943" s="1" t="str">
        <f ca="1">IFERROR(__xludf.DUMMYFUNCTION("GOOGLETRANSLATE(E943, ""en"", ""ko"")"),"카누, 로잉, 4.0-5.9mph, 중간 노력")</f>
        <v>카누, 로잉, 4.0-5.9mph, 중간 노력</v>
      </c>
      <c r="M943" s="1"/>
      <c r="O943" s="1"/>
    </row>
    <row r="944" spans="1:15" ht="16.5" customHeight="1">
      <c r="A944" s="1">
        <v>942</v>
      </c>
      <c r="B944" s="1" t="str">
        <f ca="1">IFERROR(__xludf.DUMMYFUNCTION("GOOGLETRANSLATE(B944, ""en"", ""ko"")"),"수상 활동")</f>
        <v>수상 활동</v>
      </c>
      <c r="C944" s="1">
        <v>18060</v>
      </c>
      <c r="D944" s="1">
        <v>12.5</v>
      </c>
      <c r="E944" s="1" t="str">
        <f ca="1">IFERROR(__xludf.DUMMYFUNCTION("GOOGLETRANSLATE(E944, ""en"", ""ko"")"),"카누, 로잉, 카약, 경쟁, &gt; 6 mph, 격렬한 노력")</f>
        <v>카누, 로잉, 카약, 경쟁, &gt; 6 mph, 격렬한 노력</v>
      </c>
      <c r="M944" s="1"/>
      <c r="O944" s="1"/>
    </row>
    <row r="945" spans="1:15" ht="16.5" customHeight="1">
      <c r="A945" s="1">
        <v>943</v>
      </c>
      <c r="B945" s="1" t="str">
        <f ca="1">IFERROR(__xludf.DUMMYFUNCTION("GOOGLETRANSLATE(B945, ""en"", ""ko"")"),"수상 활동")</f>
        <v>수상 활동</v>
      </c>
      <c r="C945" s="1">
        <v>18070</v>
      </c>
      <c r="D945" s="1">
        <v>3.5</v>
      </c>
      <c r="E945" s="1" t="str">
        <f ca="1">IFERROR(__xludf.DUMMYFUNCTION("GOOGLETRANSLATE(E945, ""en"", ""ko"")"),"카누, 로잉, 오락, 일반")</f>
        <v>카누, 로잉, 오락, 일반</v>
      </c>
      <c r="M945" s="1"/>
      <c r="O945" s="1"/>
    </row>
    <row r="946" spans="1:15" ht="16.5" customHeight="1">
      <c r="A946" s="1">
        <v>944</v>
      </c>
      <c r="B946" s="1" t="str">
        <f ca="1">IFERROR(__xludf.DUMMYFUNCTION("GOOGLETRANSLATE(B946, ""en"", ""ko"")"),"수상 활동")</f>
        <v>수상 활동</v>
      </c>
      <c r="C946" s="1">
        <v>18080</v>
      </c>
      <c r="D946" s="1">
        <v>12</v>
      </c>
      <c r="E946" s="1" t="str">
        <f ca="1">IFERROR(__xludf.DUMMYFUNCTION("GOOGLETRANSLATE(E946, ""en"", ""ko"")"),"경쟁, 승무원 또는 스컬링에서의 카누 또는 로잉")</f>
        <v>경쟁, 승무원 또는 스컬링에서의 카누 또는 로잉</v>
      </c>
      <c r="M946" s="1"/>
      <c r="O946" s="1"/>
    </row>
    <row r="947" spans="1:15" ht="16.5" customHeight="1">
      <c r="A947" s="1">
        <v>945</v>
      </c>
      <c r="B947" s="1" t="str">
        <f ca="1">IFERROR(__xludf.DUMMYFUNCTION("GOOGLETRANSLATE(B947, ""en"", ""ko"")"),"수상 활동")</f>
        <v>수상 활동</v>
      </c>
      <c r="C947" s="1">
        <v>18090</v>
      </c>
      <c r="D947" s="1">
        <v>3</v>
      </c>
      <c r="E947" s="1" t="str">
        <f ca="1">IFERROR(__xludf.DUMMYFUNCTION("GOOGLETRANSLATE(E947, ""en"", ""ko"")"),"다이빙, 스프링보드 또는 플랫폼")</f>
        <v>다이빙, 스프링보드 또는 플랫폼</v>
      </c>
      <c r="M947" s="1"/>
      <c r="O947" s="1"/>
    </row>
    <row r="948" spans="1:15" ht="16.5" customHeight="1">
      <c r="A948" s="1">
        <v>946</v>
      </c>
      <c r="B948" s="1" t="str">
        <f ca="1">IFERROR(__xludf.DUMMYFUNCTION("GOOGLETRANSLATE(B948, ""en"", ""ko"")"),"수상 활동")</f>
        <v>수상 활동</v>
      </c>
      <c r="C948" s="1">
        <v>18100</v>
      </c>
      <c r="D948" s="1">
        <v>5</v>
      </c>
      <c r="E948" s="1" t="str">
        <f ca="1">IFERROR(__xludf.DUMMYFUNCTION("GOOGLETRANSLATE(E948, ""en"", ""ko"")"),"카약, 중간 정도의 노력")</f>
        <v>카약, 중간 정도의 노력</v>
      </c>
      <c r="M948" s="1"/>
      <c r="O948" s="1"/>
    </row>
    <row r="949" spans="1:15" ht="16.5" customHeight="1">
      <c r="A949" s="1">
        <v>947</v>
      </c>
      <c r="B949" s="1" t="str">
        <f ca="1">IFERROR(__xludf.DUMMYFUNCTION("GOOGLETRANSLATE(B949, ""en"", ""ko"")"),"수상 활동")</f>
        <v>수상 활동</v>
      </c>
      <c r="C949" s="1">
        <v>18104</v>
      </c>
      <c r="D949" s="1">
        <v>13.5</v>
      </c>
      <c r="E949" s="1" t="str">
        <f ca="1">IFERROR(__xludf.DUMMYFUNCTION("GOOGLETRANSLATE(E949, ""en"", ""ko"")"),"카약, 경쟁")</f>
        <v>카약, 경쟁</v>
      </c>
      <c r="M949" s="1"/>
      <c r="O949" s="1"/>
    </row>
    <row r="950" spans="1:15" ht="16.5" customHeight="1">
      <c r="A950" s="1">
        <v>948</v>
      </c>
      <c r="B950" s="1" t="str">
        <f ca="1">IFERROR(__xludf.DUMMYFUNCTION("GOOGLETRANSLATE(B950, ""en"", ""ko"")"),"수상 활동")</f>
        <v>수상 활동</v>
      </c>
      <c r="C950" s="1">
        <v>18106</v>
      </c>
      <c r="D950" s="1">
        <v>9</v>
      </c>
      <c r="E950" s="1" t="str">
        <f ca="1">IFERROR(__xludf.DUMMYFUNCTION("GOOGLETRANSLATE(E950, ""en"", ""ko"")"),"카약, 슬라롬, 잔잔한 물")</f>
        <v>카약, 슬라롬, 잔잔한 물</v>
      </c>
      <c r="M950" s="1"/>
      <c r="O950" s="1"/>
    </row>
    <row r="951" spans="1:15" ht="16.5" customHeight="1">
      <c r="A951" s="1">
        <v>949</v>
      </c>
      <c r="B951" s="1" t="str">
        <f ca="1">IFERROR(__xludf.DUMMYFUNCTION("GOOGLETRANSLATE(B951, ""en"", ""ko"")"),"수상 활동")</f>
        <v>수상 활동</v>
      </c>
      <c r="C951" s="1">
        <v>18110</v>
      </c>
      <c r="D951" s="1">
        <v>4</v>
      </c>
      <c r="E951" s="1" t="str">
        <f ca="1">IFERROR(__xludf.DUMMYFUNCTION("GOOGLETRANSLATE(E951, ""en"", ""ko"")"),"외륜선")</f>
        <v>외륜선</v>
      </c>
      <c r="M951" s="1"/>
      <c r="O951" s="1"/>
    </row>
    <row r="952" spans="1:15" ht="16.5" customHeight="1">
      <c r="A952" s="1">
        <v>950</v>
      </c>
      <c r="B952" s="1" t="str">
        <f ca="1">IFERROR(__xludf.DUMMYFUNCTION("GOOGLETRANSLATE(B952, ""en"", ""ko"")"),"수상 활동")</f>
        <v>수상 활동</v>
      </c>
      <c r="C952" s="1">
        <v>18112</v>
      </c>
      <c r="D952" s="1">
        <v>15.5</v>
      </c>
      <c r="E952" s="1" t="str">
        <f ca="1">IFERROR(__xludf.DUMMYFUNCTION("GOOGLETRANSLATE(E952, ""en"", ""ko"")"),"로잉, 물탱크에 있는 시뮬레이션 승무원, 싱글 노, 분당 33회 스트로크,")</f>
        <v>로잉, 물탱크에 있는 시뮬레이션 승무원, 싱글 노, 분당 33회 스트로크,</v>
      </c>
      <c r="M952" s="1"/>
      <c r="O952" s="1"/>
    </row>
    <row r="953" spans="1:15" ht="16.5" customHeight="1">
      <c r="A953" s="1">
        <v>951</v>
      </c>
      <c r="B953" s="1" t="str">
        <f ca="1">IFERROR(__xludf.DUMMYFUNCTION("GOOGLETRANSLATE(B953, ""en"", ""ko"")"),"수상 활동")</f>
        <v>수상 활동</v>
      </c>
      <c r="C953" s="1">
        <v>18114</v>
      </c>
      <c r="D953" s="1">
        <v>15.5</v>
      </c>
      <c r="E953" s="1" t="str">
        <f ca="1">IFERROR(__xludf.DUMMYFUNCTION("GOOGLETRANSLATE(E953, ""en"", ""ko"")"),"로잉, 싱글 스컬, 에르고미터, 슬라이드 에르고미터, 레이싱 속도(32회/분 이상, 10mph 이상)")</f>
        <v>로잉, 싱글 스컬, 에르고미터, 슬라이드 에르고미터, 레이싱 속도(32회/분 이상, 10mph 이상)</v>
      </c>
      <c r="M953" s="1"/>
      <c r="O953" s="1"/>
    </row>
    <row r="954" spans="1:15" ht="16.5" customHeight="1">
      <c r="A954" s="1">
        <v>952</v>
      </c>
      <c r="B954" s="1" t="str">
        <f ca="1">IFERROR(__xludf.DUMMYFUNCTION("GOOGLETRANSLATE(B954, ""en"", ""ko"")"),"수상 활동")</f>
        <v>수상 활동</v>
      </c>
      <c r="C954" s="1">
        <v>18120</v>
      </c>
      <c r="D954" s="1">
        <v>3</v>
      </c>
      <c r="E954" s="1" t="str">
        <f ca="1">IFERROR(__xludf.DUMMYFUNCTION("GOOGLETRANSLATE(E954, ""en"", ""ko"")"),"세일링, 보트 및 보드 세일링, 윈드서핑, 아이스 세일링, 일반")</f>
        <v>세일링, 보트 및 보드 세일링, 윈드서핑, 아이스 세일링, 일반</v>
      </c>
      <c r="M954" s="1"/>
      <c r="O954" s="1"/>
    </row>
    <row r="955" spans="1:15" ht="16.5" customHeight="1">
      <c r="A955" s="1">
        <v>953</v>
      </c>
      <c r="B955" s="1" t="str">
        <f ca="1">IFERROR(__xludf.DUMMYFUNCTION("GOOGLETRANSLATE(B955, ""en"", ""ko"")"),"수상 활동")</f>
        <v>수상 활동</v>
      </c>
      <c r="C955" s="1">
        <v>18130</v>
      </c>
      <c r="D955" s="1">
        <v>4.5</v>
      </c>
      <c r="E955" s="1" t="str">
        <f ca="1">IFERROR(__xludf.DUMMYFUNCTION("GOOGLETRANSLATE(E955, ""en"", ""ko"")"),"세일링, 경쟁, 일반")</f>
        <v>세일링, 경쟁, 일반</v>
      </c>
      <c r="M955" s="1"/>
      <c r="O955" s="1"/>
    </row>
    <row r="956" spans="1:15" ht="16.5" customHeight="1">
      <c r="A956" s="1">
        <v>954</v>
      </c>
      <c r="B956" s="1" t="str">
        <f ca="1">IFERROR(__xludf.DUMMYFUNCTION("GOOGLETRANSLATE(B956, ""en"", ""ko"")"),"수상 활동")</f>
        <v>수상 활동</v>
      </c>
      <c r="C956" s="1">
        <v>18132</v>
      </c>
      <c r="D956" s="1">
        <v>9.3000000000000007</v>
      </c>
      <c r="E956" s="1" t="str">
        <f ca="1">IFERROR(__xludf.DUMMYFUNCTION("GOOGLETRANSLATE(E956, ""en"", ""ko"")"),"경쟁 속에서의 항해, 엄청난 노력")</f>
        <v>경쟁 속에서의 항해, 엄청난 노력</v>
      </c>
      <c r="M956" s="1"/>
      <c r="O956" s="1"/>
    </row>
    <row r="957" spans="1:15" ht="16.5" customHeight="1">
      <c r="A957" s="1">
        <v>955</v>
      </c>
      <c r="B957" s="1" t="str">
        <f ca="1">IFERROR(__xludf.DUMMYFUNCTION("GOOGLETRANSLATE(B957, ""en"", ""ko"")"),"수상 활동")</f>
        <v>수상 활동</v>
      </c>
      <c r="C957" s="1">
        <v>18140</v>
      </c>
      <c r="D957" s="1">
        <v>3.3</v>
      </c>
      <c r="E957" s="1" t="str">
        <f ca="1">IFERROR(__xludf.DUMMYFUNCTION("GOOGLETRANSLATE(E957, ""en"", ""ko"")"),"세일링, 선피쉬/레이저/하비캣, 킬보트, 해양 세일링, 요트, 레저")</f>
        <v>세일링, 선피쉬/레이저/하비캣, 킬보트, 해양 세일링, 요트, 레저</v>
      </c>
      <c r="M957" s="1"/>
      <c r="O957" s="1"/>
    </row>
    <row r="958" spans="1:15" ht="16.5" customHeight="1">
      <c r="A958" s="1">
        <v>956</v>
      </c>
      <c r="B958" s="1" t="str">
        <f ca="1">IFERROR(__xludf.DUMMYFUNCTION("GOOGLETRANSLATE(B958, ""en"", ""ko"")"),"수상 활동")</f>
        <v>수상 활동</v>
      </c>
      <c r="C958" s="1">
        <v>18142</v>
      </c>
      <c r="D958" s="1">
        <v>2</v>
      </c>
      <c r="E958" s="1" t="str">
        <f ca="1">IFERROR(__xludf.DUMMYFUNCTION("GOOGLETRANSLATE(E958, ""en"", ""ko"")"),"항해, 칙칙한")</f>
        <v>항해, 칙칙한</v>
      </c>
      <c r="M958" s="1"/>
      <c r="O958" s="1"/>
    </row>
    <row r="959" spans="1:15" ht="16.5" customHeight="1">
      <c r="A959" s="1">
        <v>957</v>
      </c>
      <c r="B959" s="1" t="str">
        <f ca="1">IFERROR(__xludf.DUMMYFUNCTION("GOOGLETRANSLATE(B959, ""en"", ""ko"")"),"수상 활동")</f>
        <v>수상 활동</v>
      </c>
      <c r="C959" s="1">
        <v>18150</v>
      </c>
      <c r="D959" s="1">
        <v>6</v>
      </c>
      <c r="E959" s="1" t="str">
        <f ca="1">IFERROR(__xludf.DUMMYFUNCTION("GOOGLETRANSLATE(E959, ""en"", ""ko"")"),"스키, 워터 또는 웨이크보딩")</f>
        <v>스키, 워터 또는 웨이크보딩</v>
      </c>
      <c r="M959" s="1"/>
      <c r="O959" s="1"/>
    </row>
    <row r="960" spans="1:15" ht="16.5" customHeight="1">
      <c r="A960" s="1">
        <v>958</v>
      </c>
      <c r="B960" s="1" t="str">
        <f ca="1">IFERROR(__xludf.DUMMYFUNCTION("GOOGLETRANSLATE(B960, ""en"", ""ko"")"),"수상 활동")</f>
        <v>수상 활동</v>
      </c>
      <c r="C960" s="1">
        <v>18160</v>
      </c>
      <c r="D960" s="1">
        <v>7</v>
      </c>
      <c r="E960" s="1" t="str">
        <f ca="1">IFERROR(__xludf.DUMMYFUNCTION("GOOGLETRANSLATE(E960, ""en"", ""ko"")"),"제트스키, 운전, 물속에서")</f>
        <v>제트스키, 운전, 물속에서</v>
      </c>
      <c r="M960" s="1"/>
      <c r="O960" s="1"/>
    </row>
    <row r="961" spans="1:15" ht="16.5" customHeight="1">
      <c r="A961" s="1">
        <v>959</v>
      </c>
      <c r="B961" s="1" t="str">
        <f ca="1">IFERROR(__xludf.DUMMYFUNCTION("GOOGLETRANSLATE(B961, ""en"", ""ko"")"),"수상 활동")</f>
        <v>수상 활동</v>
      </c>
      <c r="C961" s="1">
        <v>18180</v>
      </c>
      <c r="D961" s="1">
        <v>15.8</v>
      </c>
      <c r="E961" s="1" t="str">
        <f ca="1">IFERROR(__xludf.DUMMYFUNCTION("GOOGLETRANSLATE(E961, ""en"", ""ko"")"),"스킨다이빙, 빠르게")</f>
        <v>스킨다이빙, 빠르게</v>
      </c>
      <c r="M961" s="1"/>
      <c r="O961" s="1"/>
    </row>
    <row r="962" spans="1:15" ht="16.5" customHeight="1">
      <c r="A962" s="1">
        <v>960</v>
      </c>
      <c r="B962" s="1" t="str">
        <f ca="1">IFERROR(__xludf.DUMMYFUNCTION("GOOGLETRANSLATE(B962, ""en"", ""ko"")"),"수상 활동")</f>
        <v>수상 활동</v>
      </c>
      <c r="C962" s="1">
        <v>18190</v>
      </c>
      <c r="D962" s="1">
        <v>11.8</v>
      </c>
      <c r="E962" s="1" t="str">
        <f ca="1">IFERROR(__xludf.DUMMYFUNCTION("GOOGLETRANSLATE(E962, ""en"", ""ko"")"),"스킨다이빙, 중간")</f>
        <v>스킨다이빙, 중간</v>
      </c>
      <c r="M962" s="1"/>
      <c r="O962" s="1"/>
    </row>
    <row r="963" spans="1:15" ht="16.5" customHeight="1">
      <c r="A963" s="1">
        <v>961</v>
      </c>
      <c r="B963" s="1" t="str">
        <f ca="1">IFERROR(__xludf.DUMMYFUNCTION("GOOGLETRANSLATE(B963, ""en"", ""ko"")"),"수상 활동")</f>
        <v>수상 활동</v>
      </c>
      <c r="C963" s="1">
        <v>18200</v>
      </c>
      <c r="D963" s="1">
        <v>7</v>
      </c>
      <c r="E963" s="1" t="str">
        <f ca="1">IFERROR(__xludf.DUMMYFUNCTION("GOOGLETRANSLATE(E963, ""en"", ""ko"")"),"스킨다이빙, 스쿠버다이빙, 일반")</f>
        <v>스킨다이빙, 스쿠버다이빙, 일반</v>
      </c>
      <c r="M963" s="1"/>
      <c r="O963" s="1"/>
    </row>
    <row r="964" spans="1:15" ht="16.5" customHeight="1">
      <c r="A964" s="1">
        <v>962</v>
      </c>
      <c r="B964" s="1" t="str">
        <f ca="1">IFERROR(__xludf.DUMMYFUNCTION("GOOGLETRANSLATE(B964, ""en"", ""ko"")"),"수상 활동")</f>
        <v>수상 활동</v>
      </c>
      <c r="C964" s="1">
        <v>18202</v>
      </c>
      <c r="D964" s="1">
        <v>5.3</v>
      </c>
      <c r="E964" s="1" t="str">
        <f ca="1">IFERROR(__xludf.DUMMYFUNCTION("GOOGLETRANSLATE(E964, ""en"", ""ko"")"),"스쿠버 다이빙, 일반, 가벼운 노력")</f>
        <v>스쿠버 다이빙, 일반, 가벼운 노력</v>
      </c>
      <c r="M964" s="1"/>
      <c r="O964" s="1"/>
    </row>
    <row r="965" spans="1:15" ht="16.5" customHeight="1">
      <c r="A965" s="1">
        <v>963</v>
      </c>
      <c r="B965" s="1" t="str">
        <f ca="1">IFERROR(__xludf.DUMMYFUNCTION("GOOGLETRANSLATE(B965, ""en"", ""ko"")"),"수상 활동")</f>
        <v>수상 활동</v>
      </c>
      <c r="C965" s="1">
        <v>18204</v>
      </c>
      <c r="D965" s="1">
        <v>5.8</v>
      </c>
      <c r="E965" s="1" t="str">
        <f ca="1">IFERROR(__xludf.DUMMYFUNCTION("GOOGLETRANSLATE(E965, ""en"", ""ko"")"),"스쿠버 다이빙, 일반, 중간 강도")</f>
        <v>스쿠버 다이빙, 일반, 중간 강도</v>
      </c>
      <c r="M965" s="1"/>
      <c r="O965" s="1"/>
    </row>
    <row r="966" spans="1:15" ht="16.5" customHeight="1">
      <c r="A966" s="1">
        <v>964</v>
      </c>
      <c r="B966" s="1" t="str">
        <f ca="1">IFERROR(__xludf.DUMMYFUNCTION("GOOGLETRANSLATE(B966, ""en"", ""ko"")"),"수상 활동")</f>
        <v>수상 활동</v>
      </c>
      <c r="C966" s="1">
        <v>18206</v>
      </c>
      <c r="D966" s="1">
        <v>5.5</v>
      </c>
      <c r="E966" s="1" t="str">
        <f ca="1">IFERROR(__xludf.DUMMYFUNCTION("GOOGLETRANSLATE(E966, ""en"", ""ko"")"),"스쿠버 다이빙, 프로 다이버")</f>
        <v>스쿠버 다이빙, 프로 다이버</v>
      </c>
      <c r="M966" s="1"/>
      <c r="O966" s="1"/>
    </row>
    <row r="967" spans="1:15" ht="16.5" customHeight="1">
      <c r="A967" s="1">
        <v>965</v>
      </c>
      <c r="B967" s="1" t="str">
        <f ca="1">IFERROR(__xludf.DUMMYFUNCTION("GOOGLETRANSLATE(B967, ""en"", ""ko"")"),"수상 활동")</f>
        <v>수상 활동</v>
      </c>
      <c r="C967" s="1">
        <v>18208</v>
      </c>
      <c r="D967" s="1">
        <v>6.8</v>
      </c>
      <c r="E967" s="1" t="str">
        <f ca="1">IFERROR(__xludf.DUMMYFUNCTION("GOOGLETRANSLATE(E967, ""en"", ""ko"")"),"스쿠버 다이빙, 레크리에이션 다이버")</f>
        <v>스쿠버 다이빙, 레크리에이션 다이버</v>
      </c>
      <c r="M967" s="1"/>
      <c r="O967" s="1"/>
    </row>
    <row r="968" spans="1:15" ht="16.5" customHeight="1">
      <c r="A968" s="1">
        <v>966</v>
      </c>
      <c r="B968" s="1" t="str">
        <f ca="1">IFERROR(__xludf.DUMMYFUNCTION("GOOGLETRANSLATE(B968, ""en"", ""ko"")"),"수상 활동")</f>
        <v>수상 활동</v>
      </c>
      <c r="C968" s="1">
        <v>18210</v>
      </c>
      <c r="D968" s="1">
        <v>5</v>
      </c>
      <c r="E968" s="1" t="str">
        <f ca="1">IFERROR(__xludf.DUMMYFUNCTION("GOOGLETRANSLATE(E968, ""en"", ""ko"")"),"스노클링)")</f>
        <v>스노클링)</v>
      </c>
      <c r="M968" s="1"/>
      <c r="O968" s="1"/>
    </row>
    <row r="969" spans="1:15" ht="16.5" customHeight="1">
      <c r="A969" s="1">
        <v>967</v>
      </c>
      <c r="B969" s="1" t="str">
        <f ca="1">IFERROR(__xludf.DUMMYFUNCTION("GOOGLETRANSLATE(B969, ""en"", ""ko"")"),"수상 활동")</f>
        <v>수상 활동</v>
      </c>
      <c r="C969" s="1">
        <v>18220</v>
      </c>
      <c r="D969" s="1">
        <v>3</v>
      </c>
      <c r="E969" s="1" t="str">
        <f ca="1">IFERROR(__xludf.DUMMYFUNCTION("GOOGLETRANSLATE(E969, ""en"", ""ko"")"),"서핑, 바디 또는 보드, 일반")</f>
        <v>서핑, 바디 또는 보드, 일반</v>
      </c>
      <c r="M969" s="1"/>
      <c r="O969" s="1"/>
    </row>
    <row r="970" spans="1:15" ht="16.5" customHeight="1">
      <c r="A970" s="1">
        <v>968</v>
      </c>
      <c r="B970" s="1" t="str">
        <f ca="1">IFERROR(__xludf.DUMMYFUNCTION("GOOGLETRANSLATE(B970, ""en"", ""ko"")"),"수상 활동")</f>
        <v>수상 활동</v>
      </c>
      <c r="C970" s="1">
        <v>18221</v>
      </c>
      <c r="D970" s="1">
        <v>6.8</v>
      </c>
      <c r="E970" s="1" t="str">
        <f ca="1">IFERROR(__xludf.DUMMYFUNCTION("GOOGLETRANSLATE(E970, ""en"", ""ko"")"),"서핑보드, 패들링")</f>
        <v>서핑보드, 패들링</v>
      </c>
      <c r="M970" s="1"/>
      <c r="O970" s="1"/>
    </row>
    <row r="971" spans="1:15" ht="16.5" customHeight="1">
      <c r="A971" s="1">
        <v>969</v>
      </c>
      <c r="B971" s="1" t="str">
        <f ca="1">IFERROR(__xludf.DUMMYFUNCTION("GOOGLETRANSLATE(B971, ""en"", ""ko"")"),"수상 활동")</f>
        <v>수상 활동</v>
      </c>
      <c r="C971" s="1">
        <v>18222</v>
      </c>
      <c r="D971" s="1">
        <v>5</v>
      </c>
      <c r="E971" s="1" t="str">
        <f ca="1">IFERROR(__xludf.DUMMYFUNCTION("GOOGLETRANSLATE(E971, ""en"", ""ko"")"),"서핑, 바디 또는 보드, 경쟁")</f>
        <v>서핑, 바디 또는 보드, 경쟁</v>
      </c>
      <c r="M971" s="1"/>
      <c r="O971" s="1"/>
    </row>
    <row r="972" spans="1:15" ht="16.5" customHeight="1">
      <c r="A972" s="1">
        <v>970</v>
      </c>
      <c r="B972" s="1" t="str">
        <f ca="1">IFERROR(__xludf.DUMMYFUNCTION("GOOGLETRANSLATE(B972, ""en"", ""ko"")"),"수상 활동")</f>
        <v>수상 활동</v>
      </c>
      <c r="C972" s="1">
        <v>18224</v>
      </c>
      <c r="D972" s="1">
        <v>6.5</v>
      </c>
      <c r="E972" s="1" t="str">
        <f ca="1">IFERROR(__xludf.DUMMYFUNCTION("GOOGLETRANSLATE(E972, ""en"", ""ko"")"),"스탠드업 패들보딩, 일반")</f>
        <v>스탠드업 패들보딩, 일반</v>
      </c>
      <c r="M972" s="1"/>
      <c r="O972" s="1"/>
    </row>
    <row r="973" spans="1:15" ht="16.5" customHeight="1">
      <c r="A973" s="1">
        <v>971</v>
      </c>
      <c r="B973" s="1" t="str">
        <f ca="1">IFERROR(__xludf.DUMMYFUNCTION("GOOGLETRANSLATE(B973, ""en"", ""ko"")"),"수상 활동")</f>
        <v>수상 활동</v>
      </c>
      <c r="C973" s="1">
        <v>18225</v>
      </c>
      <c r="D973" s="1">
        <v>2.8</v>
      </c>
      <c r="E973" s="1" t="str">
        <f ca="1">IFERROR(__xludf.DUMMYFUNCTION("GOOGLETRANSLATE(E973, ""en"", ""ko"")"),"스탠드업 패들보드, 서서, 분당 10-19회 스트로크")</f>
        <v>스탠드업 패들보드, 서서, 분당 10-19회 스트로크</v>
      </c>
      <c r="M973" s="1"/>
      <c r="O973" s="1"/>
    </row>
    <row r="974" spans="1:15" ht="16.5" customHeight="1">
      <c r="A974" s="1">
        <v>972</v>
      </c>
      <c r="B974" s="1" t="str">
        <f ca="1">IFERROR(__xludf.DUMMYFUNCTION("GOOGLETRANSLATE(B974, ""en"", ""ko"")"),"수상 활동")</f>
        <v>수상 활동</v>
      </c>
      <c r="C974" s="1">
        <v>18226</v>
      </c>
      <c r="D974" s="1">
        <v>3.8</v>
      </c>
      <c r="E974" s="1" t="str">
        <f ca="1">IFERROR(__xludf.DUMMYFUNCTION("GOOGLETRANSLATE(E974, ""en"", ""ko"")"),"스탠드업 패들보드, 서서, 분당 20-29회 스트로크")</f>
        <v>스탠드업 패들보드, 서서, 분당 20-29회 스트로크</v>
      </c>
      <c r="M974" s="1"/>
      <c r="O974" s="1"/>
    </row>
    <row r="975" spans="1:15" ht="16.5" customHeight="1">
      <c r="A975" s="1">
        <v>973</v>
      </c>
      <c r="B975" s="1" t="str">
        <f ca="1">IFERROR(__xludf.DUMMYFUNCTION("GOOGLETRANSLATE(B975, ""en"", ""ko"")"),"수상 활동")</f>
        <v>수상 활동</v>
      </c>
      <c r="C975" s="1">
        <v>18227</v>
      </c>
      <c r="D975" s="1">
        <v>5</v>
      </c>
      <c r="E975" s="1" t="str">
        <f ca="1">IFERROR(__xludf.DUMMYFUNCTION("GOOGLETRANSLATE(E975, ""en"", ""ko"")"),"스탠드업 패들보드, 서서, 30-39 스트로크/분")</f>
        <v>스탠드업 패들보드, 서서, 30-39 스트로크/분</v>
      </c>
      <c r="M975" s="1"/>
      <c r="O975" s="1"/>
    </row>
    <row r="976" spans="1:15" ht="16.5" customHeight="1">
      <c r="A976" s="1">
        <v>974</v>
      </c>
      <c r="B976" s="1" t="str">
        <f ca="1">IFERROR(__xludf.DUMMYFUNCTION("GOOGLETRANSLATE(B976, ""en"", ""ko"")"),"수상 활동")</f>
        <v>수상 활동</v>
      </c>
      <c r="C976" s="1">
        <v>18228</v>
      </c>
      <c r="D976" s="1">
        <v>9.8000000000000007</v>
      </c>
      <c r="E976" s="1" t="str">
        <f ca="1">IFERROR(__xludf.DUMMYFUNCTION("GOOGLETRANSLATE(E976, ""en"", ""ko"")"),"스탠드업 패들보드, 서서, 40-49 스트로크/분")</f>
        <v>스탠드업 패들보드, 서서, 40-49 스트로크/분</v>
      </c>
      <c r="M976" s="1"/>
      <c r="O976" s="1"/>
    </row>
    <row r="977" spans="1:15" ht="16.5" customHeight="1">
      <c r="A977" s="1">
        <v>975</v>
      </c>
      <c r="B977" s="1" t="str">
        <f ca="1">IFERROR(__xludf.DUMMYFUNCTION("GOOGLETRANSLATE(B977, ""en"", ""ko"")"),"수상 활동")</f>
        <v>수상 활동</v>
      </c>
      <c r="C977" s="1">
        <v>18229</v>
      </c>
      <c r="D977" s="1">
        <v>11</v>
      </c>
      <c r="E977" s="1" t="str">
        <f ca="1">IFERROR(__xludf.DUMMYFUNCTION("GOOGLETRANSLATE(E977, ""en"", ""ko"")"),"스탠드업 패들보드, 서서, 분당 50-69회 스트로크")</f>
        <v>스탠드업 패들보드, 서서, 분당 50-69회 스트로크</v>
      </c>
      <c r="M977" s="1"/>
      <c r="O977" s="1"/>
    </row>
    <row r="978" spans="1:15" ht="16.5" customHeight="1">
      <c r="A978" s="1">
        <v>976</v>
      </c>
      <c r="B978" s="1" t="str">
        <f ca="1">IFERROR(__xludf.DUMMYFUNCTION("GOOGLETRANSLATE(B978, ""en"", ""ko"")"),"수상 활동")</f>
        <v>수상 활동</v>
      </c>
      <c r="C978" s="1">
        <v>18230</v>
      </c>
      <c r="D978" s="1">
        <v>9.8000000000000007</v>
      </c>
      <c r="E978" s="1" t="str">
        <f ca="1">IFERROR(__xludf.DUMMYFUNCTION("GOOGLETRANSLATE(E978, ""en"", ""ko"")"),"수영 랩, 자유형, 빠르고 강렬한 노력")</f>
        <v>수영 랩, 자유형, 빠르고 강렬한 노력</v>
      </c>
      <c r="M978" s="1"/>
      <c r="O978" s="1"/>
    </row>
    <row r="979" spans="1:15" ht="16.5" customHeight="1">
      <c r="A979" s="1">
        <v>977</v>
      </c>
      <c r="B979" s="1" t="str">
        <f ca="1">IFERROR(__xludf.DUMMYFUNCTION("GOOGLETRANSLATE(B979, ""en"", ""ko"")"),"수상 활동")</f>
        <v>수상 활동</v>
      </c>
      <c r="C979" s="1">
        <v>18240</v>
      </c>
      <c r="D979" s="1">
        <v>5.8</v>
      </c>
      <c r="E979" s="1" t="str">
        <f ca="1">IFERROR(__xludf.DUMMYFUNCTION("GOOGLETRANSLATE(E979, ""en"", ""ko"")"),"수영 랩, 자유형, 느림, 레크리에이션")</f>
        <v>수영 랩, 자유형, 느림, 레크리에이션</v>
      </c>
      <c r="M979" s="1"/>
      <c r="O979" s="1"/>
    </row>
    <row r="980" spans="1:15" ht="16.5" customHeight="1">
      <c r="A980" s="1">
        <v>978</v>
      </c>
      <c r="B980" s="1" t="str">
        <f ca="1">IFERROR(__xludf.DUMMYFUNCTION("GOOGLETRANSLATE(B980, ""en"", ""ko"")"),"수상 활동")</f>
        <v>수상 활동</v>
      </c>
      <c r="C980" s="1">
        <v>18250</v>
      </c>
      <c r="D980" s="1">
        <v>9.5</v>
      </c>
      <c r="E980" s="1" t="str">
        <f ca="1">IFERROR(__xludf.DUMMYFUNCTION("GOOGLETRANSLATE(E980, ""en"", ""ko"")"),"수영, 배영, 훈련 또는 경쟁")</f>
        <v>수영, 배영, 훈련 또는 경쟁</v>
      </c>
      <c r="M980" s="1"/>
      <c r="O980" s="1"/>
    </row>
    <row r="981" spans="1:15" ht="16.5" customHeight="1">
      <c r="A981" s="1">
        <v>979</v>
      </c>
      <c r="B981" s="1" t="str">
        <f ca="1">IFERROR(__xludf.DUMMYFUNCTION("GOOGLETRANSLATE(B981, ""en"", ""ko"")"),"수상 활동")</f>
        <v>수상 활동</v>
      </c>
      <c r="C981" s="1">
        <v>18255</v>
      </c>
      <c r="D981" s="1">
        <v>4.8</v>
      </c>
      <c r="E981" s="1" t="str">
        <f ca="1">IFERROR(__xludf.DUMMYFUNCTION("GOOGLETRANSLATE(E981, ""en"", ""ko"")"),"수영, 배영, 레크리에이션")</f>
        <v>수영, 배영, 레크리에이션</v>
      </c>
      <c r="M981" s="1"/>
      <c r="O981" s="1"/>
    </row>
    <row r="982" spans="1:15" ht="16.5" customHeight="1">
      <c r="A982" s="1">
        <v>980</v>
      </c>
      <c r="B982" s="1" t="str">
        <f ca="1">IFERROR(__xludf.DUMMYFUNCTION("GOOGLETRANSLATE(B982, ""en"", ""ko"")"),"수상 활동")</f>
        <v>수상 활동</v>
      </c>
      <c r="C982" s="1">
        <v>18260</v>
      </c>
      <c r="D982" s="1">
        <v>10.3</v>
      </c>
      <c r="E982" s="1" t="str">
        <f ca="1">IFERROR(__xludf.DUMMYFUNCTION("GOOGLETRANSLATE(E982, ""en"", ""ko"")"),"수영, 평영, 일반, 훈련 또는 경쟁")</f>
        <v>수영, 평영, 일반, 훈련 또는 경쟁</v>
      </c>
      <c r="M982" s="1"/>
      <c r="O982" s="1"/>
    </row>
    <row r="983" spans="1:15" ht="16.5" customHeight="1">
      <c r="A983" s="1">
        <v>981</v>
      </c>
      <c r="B983" s="1" t="str">
        <f ca="1">IFERROR(__xludf.DUMMYFUNCTION("GOOGLETRANSLATE(B983, ""en"", ""ko"")"),"수상 활동")</f>
        <v>수상 활동</v>
      </c>
      <c r="C983" s="1">
        <v>18265</v>
      </c>
      <c r="D983" s="1">
        <v>5.3</v>
      </c>
      <c r="E983" s="1" t="str">
        <f ca="1">IFERROR(__xludf.DUMMYFUNCTION("GOOGLETRANSLATE(E983, ""en"", ""ko"")"),"수영 평영, 레크리에이션")</f>
        <v>수영 평영, 레크리에이션</v>
      </c>
      <c r="M983" s="1"/>
      <c r="O983" s="1"/>
    </row>
    <row r="984" spans="1:15" ht="16.5" customHeight="1">
      <c r="A984" s="1">
        <v>982</v>
      </c>
      <c r="B984" s="1" t="str">
        <f ca="1">IFERROR(__xludf.DUMMYFUNCTION("GOOGLETRANSLATE(B984, ""en"", ""ko"")"),"수상 활동")</f>
        <v>수상 활동</v>
      </c>
      <c r="C984" s="1">
        <v>18270</v>
      </c>
      <c r="D984" s="1">
        <v>13.8</v>
      </c>
      <c r="E984" s="1" t="str">
        <f ca="1">IFERROR(__xludf.DUMMYFUNCTION("GOOGLETRANSLATE(E984, ""en"", ""ko"")"),"수영, 접영, 일반")</f>
        <v>수영, 접영, 일반</v>
      </c>
      <c r="M984" s="1"/>
      <c r="O984" s="1"/>
    </row>
    <row r="985" spans="1:15" ht="16.5" customHeight="1">
      <c r="A985" s="1">
        <v>983</v>
      </c>
      <c r="B985" s="1" t="str">
        <f ca="1">IFERROR(__xludf.DUMMYFUNCTION("GOOGLETRANSLATE(B985, ""en"", ""ko"")"),"수상 활동")</f>
        <v>수상 활동</v>
      </c>
      <c r="C985" s="1">
        <v>18280</v>
      </c>
      <c r="D985" s="1">
        <v>10.5</v>
      </c>
      <c r="E985" s="1" t="str">
        <f ca="1">IFERROR(__xludf.DUMMYFUNCTION("GOOGLETRANSLATE(E985, ""en"", ""ko"")"),"수영, 기어가기, 빠른 속도, 분당 약 75야드, 격렬한 노력")</f>
        <v>수영, 기어가기, 빠른 속도, 분당 약 75야드, 격렬한 노력</v>
      </c>
      <c r="M985" s="1"/>
      <c r="O985" s="1"/>
    </row>
    <row r="986" spans="1:15" ht="16.5" customHeight="1">
      <c r="A986" s="1">
        <v>984</v>
      </c>
      <c r="B986" s="1" t="str">
        <f ca="1">IFERROR(__xludf.DUMMYFUNCTION("GOOGLETRANSLATE(B986, ""en"", ""ko"")"),"수상 활동")</f>
        <v>수상 활동</v>
      </c>
      <c r="C986" s="1">
        <v>18285</v>
      </c>
      <c r="D986" s="1">
        <v>10.5</v>
      </c>
      <c r="E986" s="1" t="str">
        <f ca="1">IFERROR(__xludf.DUMMYFUNCTION("GOOGLETRANSLATE(E986, ""en"", ""ko"")"),"수영, 오픈 워터, 5km")</f>
        <v>수영, 오픈 워터, 5km</v>
      </c>
      <c r="M986" s="1"/>
      <c r="O986" s="1"/>
    </row>
    <row r="987" spans="1:15" ht="16.5" customHeight="1">
      <c r="A987" s="1">
        <v>985</v>
      </c>
      <c r="B987" s="1" t="str">
        <f ca="1">IFERROR(__xludf.DUMMYFUNCTION("GOOGLETRANSLATE(B987, ""en"", ""ko"")"),"수상 활동")</f>
        <v>수상 활동</v>
      </c>
      <c r="C987" s="1">
        <v>18290</v>
      </c>
      <c r="D987" s="1">
        <v>8</v>
      </c>
      <c r="E987" s="1" t="str">
        <f ca="1">IFERROR(__xludf.DUMMYFUNCTION("GOOGLETRANSLATE(E987, ""en"", ""ko"")"),"수영, 기어가기, 중간 속도, 분당 약 50야드, 격렬한 노력")</f>
        <v>수영, 기어가기, 중간 속도, 분당 약 50야드, 격렬한 노력</v>
      </c>
      <c r="M987" s="1"/>
      <c r="O987" s="1"/>
    </row>
    <row r="988" spans="1:15" ht="16.5" customHeight="1">
      <c r="A988" s="1">
        <v>986</v>
      </c>
      <c r="B988" s="1" t="str">
        <f ca="1">IFERROR(__xludf.DUMMYFUNCTION("GOOGLETRANSLATE(B988, ""en"", ""ko"")"),"수상 활동")</f>
        <v>수상 활동</v>
      </c>
      <c r="C988" s="1">
        <v>18292</v>
      </c>
      <c r="D988" s="1">
        <v>5.8</v>
      </c>
      <c r="E988" s="1" t="str">
        <f ca="1">IFERROR(__xludf.DUMMYFUNCTION("GOOGLETRANSLATE(E988, ""en"", ""ko"")"),"수영, 기어가기, 느린 속도, 분당 30-45야드, 중간 노력")</f>
        <v>수영, 기어가기, 느린 속도, 분당 30-45야드, 중간 노력</v>
      </c>
      <c r="M988" s="1"/>
      <c r="O988" s="1"/>
    </row>
    <row r="989" spans="1:15" ht="16.5" customHeight="1">
      <c r="A989" s="1">
        <v>987</v>
      </c>
      <c r="B989" s="1" t="str">
        <f ca="1">IFERROR(__xludf.DUMMYFUNCTION("GOOGLETRANSLATE(B989, ""en"", ""ko"")"),"수상 활동")</f>
        <v>수상 활동</v>
      </c>
      <c r="C989" s="1">
        <v>18294</v>
      </c>
      <c r="D989" s="1">
        <v>14.5</v>
      </c>
      <c r="E989" s="1" t="str">
        <f ca="1">IFERROR(__xludf.DUMMYFUNCTION("GOOGLETRANSLATE(E989, ""en"", ""ko"")"),"수영, 크롤, 엘리트 수영 선수, 경쟁, 분당 90야드 이상")</f>
        <v>수영, 크롤, 엘리트 수영 선수, 경쟁, 분당 90야드 이상</v>
      </c>
      <c r="M989" s="1"/>
      <c r="O989" s="1"/>
    </row>
    <row r="990" spans="1:15" ht="16.5" customHeight="1">
      <c r="A990" s="1">
        <v>988</v>
      </c>
      <c r="B990" s="1" t="str">
        <f ca="1">IFERROR(__xludf.DUMMYFUNCTION("GOOGLETRANSLATE(B990, ""en"", ""ko"")"),"수상 활동")</f>
        <v>수상 활동</v>
      </c>
      <c r="C990" s="1">
        <v>18300</v>
      </c>
      <c r="D990" s="1">
        <v>6</v>
      </c>
      <c r="E990" s="1" t="str">
        <f ca="1">IFERROR(__xludf.DUMMYFUNCTION("GOOGLETRANSLATE(E990, ""en"", ""ko"")"),"수영, 호수, 바다, 강")</f>
        <v>수영, 호수, 바다, 강</v>
      </c>
      <c r="M990" s="1"/>
      <c r="O990" s="1"/>
    </row>
    <row r="991" spans="1:15" ht="16.5" customHeight="1">
      <c r="A991" s="1">
        <v>989</v>
      </c>
      <c r="B991" s="1" t="str">
        <f ca="1">IFERROR(__xludf.DUMMYFUNCTION("GOOGLETRANSLATE(B991, ""en"", ""ko"")"),"수상 활동")</f>
        <v>수상 활동</v>
      </c>
      <c r="C991" s="1">
        <v>18310</v>
      </c>
      <c r="D991" s="1">
        <v>6</v>
      </c>
      <c r="E991" s="1" t="str">
        <f ca="1">IFERROR(__xludf.DUMMYFUNCTION("GOOGLETRANSLATE(E991, ""en"", ""ko"")"),"수영, 여유롭게, 랩 수영 아님, 일반")</f>
        <v>수영, 여유롭게, 랩 수영 아님, 일반</v>
      </c>
      <c r="M991" s="1"/>
      <c r="O991" s="1"/>
    </row>
    <row r="992" spans="1:15" ht="16.5" customHeight="1">
      <c r="A992" s="1">
        <v>990</v>
      </c>
      <c r="B992" s="1" t="str">
        <f ca="1">IFERROR(__xludf.DUMMYFUNCTION("GOOGLETRANSLATE(B992, ""en"", ""ko"")"),"수상 활동")</f>
        <v>수상 활동</v>
      </c>
      <c r="C992" s="1">
        <v>18320</v>
      </c>
      <c r="D992" s="1">
        <v>7</v>
      </c>
      <c r="E992" s="1" t="str">
        <f ca="1">IFERROR(__xludf.DUMMYFUNCTION("GOOGLETRANSLATE(E992, ""en"", ""ko"")"),"수영, 사이드영, 일반")</f>
        <v>수영, 사이드영, 일반</v>
      </c>
      <c r="M992" s="1"/>
      <c r="O992" s="1"/>
    </row>
    <row r="993" spans="1:15" ht="16.5" customHeight="1">
      <c r="A993" s="1">
        <v>991</v>
      </c>
      <c r="B993" s="1" t="str">
        <f ca="1">IFERROR(__xludf.DUMMYFUNCTION("GOOGLETRANSLATE(B993, ""en"", ""ko"")"),"수상 활동")</f>
        <v>수상 활동</v>
      </c>
      <c r="C993" s="1">
        <v>18330</v>
      </c>
      <c r="D993" s="1">
        <v>8</v>
      </c>
      <c r="E993" s="1" t="str">
        <f ca="1">IFERROR(__xludf.DUMMYFUNCTION("GOOGLETRANSLATE(E993, ""en"", ""ko"")"),"수영, 동기화")</f>
        <v>수영, 동기화</v>
      </c>
      <c r="M993" s="1"/>
      <c r="O993" s="1"/>
    </row>
    <row r="994" spans="1:15" ht="16.5" customHeight="1">
      <c r="A994" s="1">
        <v>992</v>
      </c>
      <c r="B994" s="1" t="str">
        <f ca="1">IFERROR(__xludf.DUMMYFUNCTION("GOOGLETRANSLATE(B994, ""en"", ""ko"")"),"수상 활동")</f>
        <v>수상 활동</v>
      </c>
      <c r="C994" s="1">
        <v>18340</v>
      </c>
      <c r="D994" s="1">
        <v>9.8000000000000007</v>
      </c>
      <c r="E994" s="1" t="str">
        <f ca="1">IFERROR(__xludf.DUMMYFUNCTION("GOOGLETRANSLATE(E994, ""en"", ""ko"")"),"수영, 물 위를 걷는 것, 빠르고 힘찬 노력")</f>
        <v>수영, 물 위를 걷는 것, 빠르고 힘찬 노력</v>
      </c>
      <c r="M994" s="1"/>
      <c r="O994" s="1"/>
    </row>
    <row r="995" spans="1:15" ht="16.5" customHeight="1">
      <c r="A995" s="1">
        <v>993</v>
      </c>
      <c r="B995" s="1" t="str">
        <f ca="1">IFERROR(__xludf.DUMMYFUNCTION("GOOGLETRANSLATE(B995, ""en"", ""ko"")"),"수상 활동")</f>
        <v>수상 활동</v>
      </c>
      <c r="C995" s="1">
        <v>18350</v>
      </c>
      <c r="D995" s="1">
        <v>3.5</v>
      </c>
      <c r="E995" s="1" t="str">
        <f ca="1">IFERROR(__xludf.DUMMYFUNCTION("GOOGLETRANSLATE(E995, ""en"", ""ko"")"),"수영, 물 밟기, 중간 노력, 일반")</f>
        <v>수영, 물 밟기, 중간 노력, 일반</v>
      </c>
      <c r="M995" s="1"/>
      <c r="O995" s="1"/>
    </row>
    <row r="996" spans="1:15" ht="16.5" customHeight="1">
      <c r="A996" s="1">
        <v>994</v>
      </c>
      <c r="B996" s="1" t="str">
        <f ca="1">IFERROR(__xludf.DUMMYFUNCTION("GOOGLETRANSLATE(B996, ""en"", ""ko"")"),"수상 활동")</f>
        <v>수상 활동</v>
      </c>
      <c r="C996" s="1">
        <v>18352</v>
      </c>
      <c r="D996" s="1">
        <v>2.2999999999999998</v>
      </c>
      <c r="E996" s="1" t="str">
        <f ca="1">IFERROR(__xludf.DUMMYFUNCTION("GOOGLETRANSLATE(E996, ""en"", ""ko"")"),"튜빙, 강에 떠다니기, 일반")</f>
        <v>튜빙, 강에 떠다니기, 일반</v>
      </c>
      <c r="M996" s="1"/>
      <c r="O996" s="1"/>
    </row>
    <row r="997" spans="1:15" ht="16.5" customHeight="1">
      <c r="A997" s="1">
        <v>995</v>
      </c>
      <c r="B997" s="1" t="str">
        <f ca="1">IFERROR(__xludf.DUMMYFUNCTION("GOOGLETRANSLATE(B997, ""en"", ""ko"")"),"수상 활동")</f>
        <v>수상 활동</v>
      </c>
      <c r="C997" s="1">
        <v>18355</v>
      </c>
      <c r="D997" s="1">
        <v>5.5</v>
      </c>
      <c r="E997" s="1" t="str">
        <f ca="1">IFERROR(__xludf.DUMMYFUNCTION("GOOGLETRANSLATE(E997, ""en"", ""ko"")"),"수중 에어로빅, 수중 체조, 일반")</f>
        <v>수중 에어로빅, 수중 체조, 일반</v>
      </c>
      <c r="M997" s="1"/>
      <c r="O997" s="1"/>
    </row>
    <row r="998" spans="1:15" ht="16.5" customHeight="1">
      <c r="A998" s="1">
        <v>996</v>
      </c>
      <c r="B998" s="1" t="str">
        <f ca="1">IFERROR(__xludf.DUMMYFUNCTION("GOOGLETRANSLATE(B998, ""en"", ""ko"")"),"수상 활동")</f>
        <v>수상 활동</v>
      </c>
      <c r="C998" s="1">
        <v>18356</v>
      </c>
      <c r="D998" s="1">
        <v>3.8</v>
      </c>
      <c r="E998" s="1" t="str">
        <f ca="1">IFERROR(__xludf.DUMMYFUNCTION("GOOGLETRANSLATE(E998, ""en"", ""ko"")"),"수중 에어로빅, 저항 운동")</f>
        <v>수중 에어로빅, 저항 운동</v>
      </c>
      <c r="M998" s="1"/>
      <c r="O998" s="1"/>
    </row>
    <row r="999" spans="1:15" ht="16.5" customHeight="1">
      <c r="A999" s="1">
        <v>997</v>
      </c>
      <c r="B999" s="1" t="str">
        <f ca="1">IFERROR(__xludf.DUMMYFUNCTION("GOOGLETRANSLATE(B999, ""en"", ""ko"")"),"수상 활동")</f>
        <v>수상 활동</v>
      </c>
      <c r="C999" s="1">
        <v>18358</v>
      </c>
      <c r="D999" s="1">
        <v>7.5</v>
      </c>
      <c r="E999" s="1" t="str">
        <f ca="1">IFERROR(__xludf.DUMMYFUNCTION("GOOGLETRANSLATE(E999, ""en"", ""ko"")"),"수중 에어로빅, 고강도")</f>
        <v>수중 에어로빅, 고강도</v>
      </c>
      <c r="M999" s="1"/>
      <c r="O999" s="1"/>
    </row>
    <row r="1000" spans="1:15" ht="16.5" customHeight="1">
      <c r="A1000" s="1">
        <v>998</v>
      </c>
      <c r="B1000" s="1" t="str">
        <f ca="1">IFERROR(__xludf.DUMMYFUNCTION("GOOGLETRANSLATE(B1000, ""en"", ""ko"")"),"수상 활동")</f>
        <v>수상 활동</v>
      </c>
      <c r="C1000" s="1">
        <v>18360</v>
      </c>
      <c r="D1000" s="1">
        <v>10</v>
      </c>
      <c r="E1000" s="1" t="str">
        <f ca="1">IFERROR(__xludf.DUMMYFUNCTION("GOOGLETRANSLATE(E1000, ""en"", ""ko"")"),"수구")</f>
        <v>수구</v>
      </c>
      <c r="M1000" s="1"/>
      <c r="O1000" s="1"/>
    </row>
    <row r="1001" spans="1:15" ht="16.5" customHeight="1">
      <c r="A1001" s="1">
        <v>999</v>
      </c>
      <c r="B1001" s="1" t="str">
        <f ca="1">IFERROR(__xludf.DUMMYFUNCTION("GOOGLETRANSLATE(B1001, ""en"", ""ko"")"),"수상 활동")</f>
        <v>수상 활동</v>
      </c>
      <c r="C1001" s="1">
        <v>18365</v>
      </c>
      <c r="D1001" s="1">
        <v>3</v>
      </c>
      <c r="E1001" s="1" t="str">
        <f ca="1">IFERROR(__xludf.DUMMYFUNCTION("GOOGLETRANSLATE(E1001, ""en"", ""ko"")"),"워터 발리볼")</f>
        <v>워터 발리볼</v>
      </c>
      <c r="M1001" s="1"/>
      <c r="O1001" s="1"/>
    </row>
    <row r="1002" spans="1:15" ht="16.5" customHeight="1">
      <c r="A1002" s="1">
        <v>1000</v>
      </c>
      <c r="B1002" s="1" t="str">
        <f ca="1">IFERROR(__xludf.DUMMYFUNCTION("GOOGLETRANSLATE(B1002, ""en"", ""ko"")"),"수상 활동")</f>
        <v>수상 활동</v>
      </c>
      <c r="C1002" s="1">
        <v>18366</v>
      </c>
      <c r="D1002" s="1">
        <v>9.8000000000000007</v>
      </c>
      <c r="E1002" s="1" t="str">
        <f ca="1">IFERROR(__xludf.DUMMYFUNCTION("GOOGLETRANSLATE(E1002, ""en"", ""ko"")"),"워터조깅, 격렬한 노력")</f>
        <v>워터조깅, 격렬한 노력</v>
      </c>
      <c r="M1002" s="1"/>
      <c r="O1002" s="1"/>
    </row>
    <row r="1003" spans="1:15" ht="16.5" customHeight="1">
      <c r="A1003" s="1">
        <v>1001</v>
      </c>
      <c r="B1003" s="1" t="str">
        <f ca="1">IFERROR(__xludf.DUMMYFUNCTION("GOOGLETRANSLATE(B1003, ""en"", ""ko"")"),"수상 활동")</f>
        <v>수상 활동</v>
      </c>
      <c r="C1003" s="1">
        <v>18367</v>
      </c>
      <c r="D1003" s="1">
        <v>2.5</v>
      </c>
      <c r="E1003" s="1" t="str">
        <f ca="1">IFERROR(__xludf.DUMMYFUNCTION("GOOGLETRANSLATE(E1003, ""en"", ""ko"")"),"물 위를 걷는 것, 가벼운 노력, 느린 속도")</f>
        <v>물 위를 걷는 것, 가벼운 노력, 느린 속도</v>
      </c>
      <c r="M1003" s="1"/>
      <c r="O1003" s="1"/>
    </row>
    <row r="1004" spans="1:15" ht="16.5" customHeight="1">
      <c r="A1004" s="1">
        <v>1002</v>
      </c>
      <c r="B1004" s="1" t="str">
        <f ca="1">IFERROR(__xludf.DUMMYFUNCTION("GOOGLETRANSLATE(B1004, ""en"", ""ko"")"),"수상 활동")</f>
        <v>수상 활동</v>
      </c>
      <c r="C1004" s="1">
        <v>18368</v>
      </c>
      <c r="D1004" s="1">
        <v>4.8</v>
      </c>
      <c r="E1004" s="1" t="str">
        <f ca="1">IFERROR(__xludf.DUMMYFUNCTION("GOOGLETRANSLATE(E1004, ""en"", ""ko"")"),"물 위를 걷는 것, 중간 노력, 중간 속도")</f>
        <v>물 위를 걷는 것, 중간 노력, 중간 속도</v>
      </c>
      <c r="M1004" s="1"/>
      <c r="O1004" s="1"/>
    </row>
    <row r="1005" spans="1:15" ht="16.5" customHeight="1">
      <c r="A1005" s="1">
        <v>1003</v>
      </c>
      <c r="B1005" s="1" t="str">
        <f ca="1">IFERROR(__xludf.DUMMYFUNCTION("GOOGLETRANSLATE(B1005, ""en"", ""ko"")"),"수상 활동")</f>
        <v>수상 활동</v>
      </c>
      <c r="C1005" s="1">
        <v>18369</v>
      </c>
      <c r="D1005" s="1">
        <v>6.8</v>
      </c>
      <c r="E1005" s="1" t="str">
        <f ca="1">IFERROR(__xludf.DUMMYFUNCTION("GOOGLETRANSLATE(E1005, ""en"", ""ko"")"),"물 위를 걷는 것, 힘찬 노력, 빠른 걸음")</f>
        <v>물 위를 걷는 것, 힘찬 노력, 빠른 걸음</v>
      </c>
      <c r="M1005" s="1"/>
      <c r="O1005" s="1"/>
    </row>
    <row r="1006" spans="1:15" ht="16.5" customHeight="1">
      <c r="A1006" s="1">
        <v>1004</v>
      </c>
      <c r="B1006" s="1" t="str">
        <f ca="1">IFERROR(__xludf.DUMMYFUNCTION("GOOGLETRANSLATE(B1006, ""en"", ""ko"")"),"수상 활동")</f>
        <v>수상 활동</v>
      </c>
      <c r="C1006" s="1">
        <v>18370</v>
      </c>
      <c r="D1006" s="1">
        <v>5</v>
      </c>
      <c r="E1006" s="1" t="str">
        <f ca="1">IFERROR(__xludf.DUMMYFUNCTION("GOOGLETRANSLATE(E1006, ""en"", ""ko"")"),"급류 래프팅, 카약 또는 카누")</f>
        <v>급류 래프팅, 카약 또는 카누</v>
      </c>
      <c r="M1006" s="1"/>
      <c r="O1006" s="1"/>
    </row>
    <row r="1007" spans="1:15" ht="16.5" customHeight="1">
      <c r="A1007" s="1">
        <v>1005</v>
      </c>
      <c r="B1007" s="1" t="str">
        <f ca="1">IFERROR(__xludf.DUMMYFUNCTION("GOOGLETRANSLATE(B1007, ""en"", ""ko"")"),"수상 활동")</f>
        <v>수상 활동</v>
      </c>
      <c r="C1007" s="1">
        <v>18374</v>
      </c>
      <c r="D1007" s="1">
        <v>6.5</v>
      </c>
      <c r="E1007" s="1" t="str">
        <f ca="1">IFERROR(__xludf.DUMMYFUNCTION("GOOGLETRANSLATE(E1007, ""en"", ""ko"")"),"물 흐름, 30걸음/분, 느림")</f>
        <v>물 흐름, 30걸음/분, 느림</v>
      </c>
      <c r="M1007" s="1"/>
      <c r="O1007" s="1"/>
    </row>
    <row r="1008" spans="1:15" ht="16.5" customHeight="1">
      <c r="A1008" s="1">
        <v>1006</v>
      </c>
      <c r="B1008" s="1" t="str">
        <f ca="1">IFERROR(__xludf.DUMMYFUNCTION("GOOGLETRANSLATE(B1008, ""en"", ""ko"")"),"수상 활동")</f>
        <v>수상 활동</v>
      </c>
      <c r="C1008" s="1">
        <v>18375</v>
      </c>
      <c r="D1008" s="1">
        <v>7.5</v>
      </c>
      <c r="E1008" s="1" t="str">
        <f ca="1">IFERROR(__xludf.DUMMYFUNCTION("GOOGLETRANSLATE(E1008, ""en"", ""ko"")"),"물 흐름, 40걸음/분, 중간")</f>
        <v>물 흐름, 40걸음/분, 중간</v>
      </c>
      <c r="M1008" s="1"/>
      <c r="O1008" s="1"/>
    </row>
    <row r="1009" spans="1:15" ht="16.5" customHeight="1">
      <c r="A1009" s="1">
        <v>1007</v>
      </c>
      <c r="B1009" s="1" t="str">
        <f ca="1">IFERROR(__xludf.DUMMYFUNCTION("GOOGLETRANSLATE(B1009, ""en"", ""ko"")"),"수상 활동")</f>
        <v>수상 활동</v>
      </c>
      <c r="C1009" s="1">
        <v>18376</v>
      </c>
      <c r="D1009" s="1">
        <v>8.5</v>
      </c>
      <c r="E1009" s="1" t="str">
        <f ca="1">IFERROR(__xludf.DUMMYFUNCTION("GOOGLETRANSLATE(E1009, ""en"", ""ko"")"),"물 흐름, 분당 50걸음, 빠름")</f>
        <v>물 흐름, 분당 50걸음, 빠름</v>
      </c>
      <c r="M1009" s="1"/>
      <c r="O1009" s="1"/>
    </row>
    <row r="1010" spans="1:15" ht="16.5" customHeight="1">
      <c r="A1010" s="1">
        <v>1008</v>
      </c>
      <c r="B1010" s="1" t="str">
        <f ca="1">IFERROR(__xludf.DUMMYFUNCTION("GOOGLETRANSLATE(B1010, ""en"", ""ko"")"),"수상 활동")</f>
        <v>수상 활동</v>
      </c>
      <c r="C1010" s="1">
        <v>18377</v>
      </c>
      <c r="D1010" s="1">
        <v>9.8000000000000007</v>
      </c>
      <c r="E1010" s="1" t="str">
        <f ca="1">IFERROR(__xludf.DUMMYFUNCTION("GOOGLETRANSLATE(E1010, ""en"", ""ko"")"),"물 흐름, 분당 60걸음, 매우 빠름")</f>
        <v>물 흐름, 분당 60걸음, 매우 빠름</v>
      </c>
      <c r="M1010" s="1"/>
      <c r="O1010" s="1"/>
    </row>
    <row r="1011" spans="1:15" ht="16.5" customHeight="1">
      <c r="A1011" s="1">
        <v>1009</v>
      </c>
      <c r="B1011" s="1" t="str">
        <f ca="1">IFERROR(__xludf.DUMMYFUNCTION("GOOGLETRANSLATE(B1011, ""en"", ""ko"")"),"수상 활동")</f>
        <v>수상 활동</v>
      </c>
      <c r="C1011" s="1">
        <v>18380</v>
      </c>
      <c r="D1011" s="1">
        <v>5</v>
      </c>
      <c r="E1011" s="1" t="str">
        <f ca="1">IFERROR(__xludf.DUMMYFUNCTION("GOOGLETRANSLATE(E1011, ""en"", ""ko"")"),"윈드서핑, 속도를 위해 펌핑하는 것이 아닙니다")</f>
        <v>윈드서핑, 속도를 위해 펌핑하는 것이 아닙니다</v>
      </c>
      <c r="M1011" s="1"/>
      <c r="O1011" s="1"/>
    </row>
    <row r="1012" spans="1:15" ht="16.5" customHeight="1">
      <c r="A1012" s="1">
        <v>1010</v>
      </c>
      <c r="B1012" s="1" t="str">
        <f ca="1">IFERROR(__xludf.DUMMYFUNCTION("GOOGLETRANSLATE(B1012, ""en"", ""ko"")"),"수상 활동")</f>
        <v>수상 활동</v>
      </c>
      <c r="C1012" s="1">
        <v>18385</v>
      </c>
      <c r="D1012" s="1">
        <v>11</v>
      </c>
      <c r="E1012" s="1" t="str">
        <f ca="1">IFERROR(__xludf.DUMMYFUNCTION("GOOGLETRANSLATE(E1012, ""en"", ""ko"")"),"윈드서핑이나 카이트서핑, 크로싱 트라이얼")</f>
        <v>윈드서핑이나 카이트서핑, 크로싱 트라이얼</v>
      </c>
      <c r="M1012" s="1"/>
      <c r="O1012" s="1"/>
    </row>
    <row r="1013" spans="1:15" ht="16.5" customHeight="1">
      <c r="A1013" s="1">
        <v>1011</v>
      </c>
      <c r="B1013" s="1" t="str">
        <f ca="1">IFERROR(__xludf.DUMMYFUNCTION("GOOGLETRANSLATE(B1013, ""en"", ""ko"")"),"수상 활동")</f>
        <v>수상 활동</v>
      </c>
      <c r="C1013" s="1">
        <v>18390</v>
      </c>
      <c r="D1013" s="1">
        <v>14</v>
      </c>
      <c r="E1013" s="1" t="str">
        <f ca="1">IFERROR(__xludf.DUMMYFUNCTION("GOOGLETRANSLATE(E1013, ""en"", ""ko"")"),"윈드서핑, 경쟁, 속도를 향한 펌핑")</f>
        <v>윈드서핑, 경쟁, 속도를 향한 펌핑</v>
      </c>
      <c r="M1013" s="1"/>
      <c r="O1013" s="1"/>
    </row>
    <row r="1014" spans="1:15" ht="16.5" customHeight="1">
      <c r="A1014" s="1">
        <v>1012</v>
      </c>
      <c r="B1014" s="1" t="str">
        <f ca="1">IFERROR(__xludf.DUMMYFUNCTION("GOOGLETRANSLATE(B1014, ""en"", ""ko"")"),"수상 활동")</f>
        <v>수상 활동</v>
      </c>
      <c r="C1014" s="1">
        <v>18404</v>
      </c>
      <c r="D1014" s="1">
        <v>2.8</v>
      </c>
      <c r="E1014" s="1" t="str">
        <f ca="1">IFERROR(__xludf.DUMMYFUNCTION("GOOGLETRANSLATE(E1014, ""en"", ""ko"")"),"수중 사이클링, 25W, 40-50RPM")</f>
        <v>수중 사이클링, 25W, 40-50RPM</v>
      </c>
      <c r="M1014" s="1"/>
      <c r="O1014" s="1"/>
    </row>
    <row r="1015" spans="1:15" ht="16.5" customHeight="1">
      <c r="A1015" s="1">
        <v>1013</v>
      </c>
      <c r="B1015" s="1" t="str">
        <f ca="1">IFERROR(__xludf.DUMMYFUNCTION("GOOGLETRANSLATE(B1015, ""en"", ""ko"")"),"수상 활동")</f>
        <v>수상 활동</v>
      </c>
      <c r="C1015" s="1">
        <v>18408</v>
      </c>
      <c r="D1015" s="1">
        <v>4.8</v>
      </c>
      <c r="E1015" s="1" t="str">
        <f ca="1">IFERROR(__xludf.DUMMYFUNCTION("GOOGLETRANSLATE(E1015, ""en"", ""ko"")"),"수중 사이클링, 25W, 60-70RPM")</f>
        <v>수중 사이클링, 25W, 60-70RPM</v>
      </c>
      <c r="M1015" s="1"/>
      <c r="O1015" s="1"/>
    </row>
    <row r="1016" spans="1:15" ht="16.5" customHeight="1">
      <c r="A1016" s="1">
        <v>1014</v>
      </c>
      <c r="B1016" s="1" t="str">
        <f ca="1">IFERROR(__xludf.DUMMYFUNCTION("GOOGLETRANSLATE(B1016, ""en"", ""ko"")"),"수상 활동")</f>
        <v>수상 활동</v>
      </c>
      <c r="C1016" s="1">
        <v>18412</v>
      </c>
      <c r="D1016" s="1">
        <v>3.8</v>
      </c>
      <c r="E1016" s="1" t="str">
        <f ca="1">IFERROR(__xludf.DUMMYFUNCTION("GOOGLETRANSLATE(E1016, ""en"", ""ko"")"),"수중 사이클링, 50W, 40-50RPM")</f>
        <v>수중 사이클링, 50W, 40-50RPM</v>
      </c>
      <c r="M1016" s="1"/>
      <c r="O1016" s="1"/>
    </row>
    <row r="1017" spans="1:15" ht="16.5" customHeight="1">
      <c r="A1017" s="1">
        <v>1015</v>
      </c>
      <c r="B1017" s="1" t="str">
        <f ca="1">IFERROR(__xludf.DUMMYFUNCTION("GOOGLETRANSLATE(B1017, ""en"", ""ko"")"),"수상 활동")</f>
        <v>수상 활동</v>
      </c>
      <c r="C1017" s="1">
        <v>18416</v>
      </c>
      <c r="D1017" s="1">
        <v>6</v>
      </c>
      <c r="E1017" s="1" t="str">
        <f ca="1">IFERROR(__xludf.DUMMYFUNCTION("GOOGLETRANSLATE(E1017, ""en"", ""ko"")"),"수중 사이클링, 50W, 60-70RPM")</f>
        <v>수중 사이클링, 50W, 60-70RPM</v>
      </c>
      <c r="M1017" s="1"/>
      <c r="O1017" s="1"/>
    </row>
    <row r="1018" spans="1:15" ht="16.5" customHeight="1">
      <c r="A1018" s="1">
        <v>1016</v>
      </c>
      <c r="B1018" s="1" t="str">
        <f ca="1">IFERROR(__xludf.DUMMYFUNCTION("GOOGLETRANSLATE(B1018, ""en"", ""ko"")"),"수상 활동")</f>
        <v>수상 활동</v>
      </c>
      <c r="C1018" s="1">
        <v>18420</v>
      </c>
      <c r="D1018" s="1">
        <v>5</v>
      </c>
      <c r="E1018" s="1" t="str">
        <f ca="1">IFERROR(__xludf.DUMMYFUNCTION("GOOGLETRANSLATE(E1018, ""en"", ""ko"")"),"수중 사이클링, 75W, 40-50RPM")</f>
        <v>수중 사이클링, 75W, 40-50RPM</v>
      </c>
      <c r="M1018" s="1"/>
      <c r="O1018" s="1"/>
    </row>
    <row r="1019" spans="1:15" ht="16.5" customHeight="1">
      <c r="A1019" s="1">
        <v>1017</v>
      </c>
      <c r="B1019" s="1" t="str">
        <f ca="1">IFERROR(__xludf.DUMMYFUNCTION("GOOGLETRANSLATE(B1019, ""en"", ""ko"")"),"수상 활동")</f>
        <v>수상 활동</v>
      </c>
      <c r="C1019" s="1">
        <v>18424</v>
      </c>
      <c r="D1019" s="1">
        <v>6.3</v>
      </c>
      <c r="E1019" s="1" t="str">
        <f ca="1">IFERROR(__xludf.DUMMYFUNCTION("GOOGLETRANSLATE(E1019, ""en"", ""ko"")"),"수중 사이클링, 75W, 60-70RPM")</f>
        <v>수중 사이클링, 75W, 60-70RPM</v>
      </c>
      <c r="M1019" s="1"/>
      <c r="O1019" s="1"/>
    </row>
    <row r="1020" spans="1:15" ht="16.5" customHeight="1">
      <c r="A1020" s="1">
        <v>1018</v>
      </c>
      <c r="B1020" s="1" t="str">
        <f ca="1">IFERROR(__xludf.DUMMYFUNCTION("GOOGLETRANSLATE(B1020, ""en"", ""ko"")"),"수상 활동")</f>
        <v>수상 활동</v>
      </c>
      <c r="C1020" s="1">
        <v>18428</v>
      </c>
      <c r="D1020" s="1">
        <v>6.3</v>
      </c>
      <c r="E1020" s="1" t="str">
        <f ca="1">IFERROR(__xludf.DUMMYFUNCTION("GOOGLETRANSLATE(E1020, ""en"", ""ko"")"),"수중 사이클링, 100W, 40-50RPM")</f>
        <v>수중 사이클링, 100W, 40-50RPM</v>
      </c>
      <c r="M1020" s="1"/>
      <c r="O1020" s="1"/>
    </row>
    <row r="1021" spans="1:15" ht="16.5" customHeight="1">
      <c r="A1021" s="1">
        <v>1019</v>
      </c>
      <c r="B1021" s="1" t="str">
        <f ca="1">IFERROR(__xludf.DUMMYFUNCTION("GOOGLETRANSLATE(B1021, ""en"", ""ko"")"),"수상 활동")</f>
        <v>수상 활동</v>
      </c>
      <c r="C1021" s="1">
        <v>18432</v>
      </c>
      <c r="D1021" s="1">
        <v>7.5</v>
      </c>
      <c r="E1021" s="1" t="str">
        <f ca="1">IFERROR(__xludf.DUMMYFUNCTION("GOOGLETRANSLATE(E1021, ""en"", ""ko"")"),"수중 사이클링, 100W, 60-70RPM")</f>
        <v>수중 사이클링, 100W, 60-70RPM</v>
      </c>
      <c r="M1021" s="1"/>
      <c r="O1021" s="1"/>
    </row>
    <row r="1022" spans="1:15" ht="16.5" customHeight="1">
      <c r="A1022" s="1">
        <v>1020</v>
      </c>
      <c r="B1022" s="1" t="str">
        <f ca="1">IFERROR(__xludf.DUMMYFUNCTION("GOOGLETRANSLATE(B1022, ""en"", ""ko"")"),"수상 활동")</f>
        <v>수상 활동</v>
      </c>
      <c r="C1022" s="1">
        <v>18436</v>
      </c>
      <c r="D1022" s="1">
        <v>8.5</v>
      </c>
      <c r="E1022" s="1" t="str">
        <f ca="1">IFERROR(__xludf.DUMMYFUNCTION("GOOGLETRANSLATE(E1022, ""en"", ""ko"")"),"수중 사이클링, 80-89 RPM")</f>
        <v>수중 사이클링, 80-89 RPM</v>
      </c>
      <c r="M1022" s="1"/>
      <c r="O1022" s="1"/>
    </row>
    <row r="1023" spans="1:15" ht="16.5" customHeight="1">
      <c r="A1023" s="1">
        <v>1021</v>
      </c>
      <c r="B1023" s="1" t="str">
        <f ca="1">IFERROR(__xludf.DUMMYFUNCTION("GOOGLETRANSLATE(B1023, ""en"", ""ko"")"),"수상 활동")</f>
        <v>수상 활동</v>
      </c>
      <c r="C1023" s="1">
        <v>18440</v>
      </c>
      <c r="D1023" s="1">
        <v>10.3</v>
      </c>
      <c r="E1023" s="1" t="str">
        <f ca="1">IFERROR(__xludf.DUMMYFUNCTION("GOOGLETRANSLATE(E1023, ""en"", ""ko"")"),"수중 사이클링, 90+ RPM")</f>
        <v>수중 사이클링, 90+ RPM</v>
      </c>
      <c r="M1023" s="1"/>
      <c r="O1023" s="1"/>
    </row>
    <row r="1024" spans="1:15" ht="16.5" customHeight="1">
      <c r="A1024" s="1">
        <v>1022</v>
      </c>
      <c r="B1024" s="1" t="str">
        <f ca="1">IFERROR(__xludf.DUMMYFUNCTION("GOOGLETRANSLATE(B1024, ""en"", ""ko"")"),"겨울 활동")</f>
        <v>겨울 활동</v>
      </c>
      <c r="C1024" s="1">
        <v>19005</v>
      </c>
      <c r="D1024" s="1">
        <v>7.5</v>
      </c>
      <c r="E1024" s="1" t="str">
        <f ca="1">IFERROR(__xludf.DUMMYFUNCTION("GOOGLETRANSLATE(E1024, ""en"", ""ko"")"),"개썰매 타기, 머싱")</f>
        <v>개썰매 타기, 머싱</v>
      </c>
      <c r="M1024" s="1"/>
      <c r="O1024" s="1"/>
    </row>
    <row r="1025" spans="1:15" ht="16.5" customHeight="1">
      <c r="A1025" s="1">
        <v>1023</v>
      </c>
      <c r="B1025" s="1" t="str">
        <f ca="1">IFERROR(__xludf.DUMMYFUNCTION("GOOGLETRANSLATE(B1025, ""en"", ""ko"")"),"겨울 활동")</f>
        <v>겨울 활동</v>
      </c>
      <c r="C1025" s="1">
        <v>19006</v>
      </c>
      <c r="D1025" s="1">
        <v>2.5</v>
      </c>
      <c r="E1025" s="1" t="str">
        <f ca="1">IFERROR(__xludf.DUMMYFUNCTION("GOOGLETRANSLATE(E1025, ""en"", ""ko"")"),"개썰매, 승객")</f>
        <v>개썰매, 승객</v>
      </c>
      <c r="M1025" s="1"/>
      <c r="O1025" s="1"/>
    </row>
    <row r="1026" spans="1:15" ht="16.5" customHeight="1">
      <c r="A1026" s="1">
        <v>1024</v>
      </c>
      <c r="B1026" s="1" t="str">
        <f ca="1">IFERROR(__xludf.DUMMYFUNCTION("GOOGLETRANSLATE(B1026, ""en"", ""ko"")"),"겨울 활동")</f>
        <v>겨울 활동</v>
      </c>
      <c r="C1026" s="1">
        <v>19010</v>
      </c>
      <c r="D1026" s="1">
        <v>6</v>
      </c>
      <c r="E1026" s="1" t="str">
        <f ca="1">IFERROR(__xludf.DUMMYFUNCTION("GOOGLETRANSLATE(E1026, ""en"", ""ko"")"),"빙고 이동, 구멍 설치/드릴링")</f>
        <v>빙고 이동, 구멍 설치/드릴링</v>
      </c>
      <c r="M1026" s="1"/>
      <c r="O1026" s="1"/>
    </row>
    <row r="1027" spans="1:15" ht="16.5" customHeight="1">
      <c r="A1027" s="1">
        <v>1025</v>
      </c>
      <c r="B1027" s="1" t="str">
        <f ca="1">IFERROR(__xludf.DUMMYFUNCTION("GOOGLETRANSLATE(B1027, ""en"", ""ko"")"),"겨울 활동")</f>
        <v>겨울 활동</v>
      </c>
      <c r="C1027" s="1">
        <v>19011</v>
      </c>
      <c r="D1027" s="1">
        <v>2</v>
      </c>
      <c r="E1027" s="1" t="str">
        <f ca="1">IFERROR(__xludf.DUMMYFUNCTION("GOOGLETRANSLATE(E1027, ""en"", ""ko"")"),"얼음낚시")</f>
        <v>얼음낚시</v>
      </c>
      <c r="M1027" s="1"/>
      <c r="O1027" s="1"/>
    </row>
    <row r="1028" spans="1:15" ht="16.5" customHeight="1">
      <c r="A1028" s="1">
        <v>1026</v>
      </c>
      <c r="B1028" s="1" t="str">
        <f ca="1">IFERROR(__xludf.DUMMYFUNCTION("GOOGLETRANSLATE(B1028, ""en"", ""ko"")"),"겨울 활동")</f>
        <v>겨울 활동</v>
      </c>
      <c r="C1028" s="1">
        <v>19018</v>
      </c>
      <c r="D1028" s="1">
        <v>14</v>
      </c>
      <c r="E1028" s="1" t="str">
        <f ca="1">IFERROR(__xludf.DUMMYFUNCTION("GOOGLETRANSLATE(E1028, ""en"", ""ko"")"),"스케이팅, 아이스댄싱")</f>
        <v>스케이팅, 아이스댄싱</v>
      </c>
      <c r="M1028" s="1"/>
      <c r="O1028" s="1"/>
    </row>
    <row r="1029" spans="1:15" ht="16.5" customHeight="1">
      <c r="A1029" s="1">
        <v>1027</v>
      </c>
      <c r="B1029" s="1" t="str">
        <f ca="1">IFERROR(__xludf.DUMMYFUNCTION("GOOGLETRANSLATE(B1029, ""en"", ""ko"")"),"겨울 활동")</f>
        <v>겨울 활동</v>
      </c>
      <c r="C1029" s="1">
        <v>19020</v>
      </c>
      <c r="D1029" s="1">
        <v>5.5</v>
      </c>
      <c r="E1029" s="1" t="str">
        <f ca="1">IFERROR(__xludf.DUMMYFUNCTION("GOOGLETRANSLATE(E1029, ""en"", ""ko"")"),"스케이팅, 얼음, 시속 9mile 이하")</f>
        <v>스케이팅, 얼음, 시속 9mile 이하</v>
      </c>
      <c r="M1029" s="1"/>
      <c r="O1029" s="1"/>
    </row>
    <row r="1030" spans="1:15" ht="16.5" customHeight="1">
      <c r="A1030" s="1">
        <v>1028</v>
      </c>
      <c r="B1030" s="1" t="str">
        <f ca="1">IFERROR(__xludf.DUMMYFUNCTION("GOOGLETRANSLATE(B1030, ""en"", ""ko"")"),"겨울 활동")</f>
        <v>겨울 활동</v>
      </c>
      <c r="C1030" s="1">
        <v>19030</v>
      </c>
      <c r="D1030" s="1">
        <v>7</v>
      </c>
      <c r="E1030" s="1" t="str">
        <f ca="1">IFERROR(__xludf.DUMMYFUNCTION("GOOGLETRANSLATE(E1030, ""en"", ""ko"")"),"스케이팅, 아이스, 일반")</f>
        <v>스케이팅, 아이스, 일반</v>
      </c>
      <c r="M1030" s="1"/>
      <c r="O1030" s="1"/>
    </row>
    <row r="1031" spans="1:15" ht="16.5" customHeight="1">
      <c r="A1031" s="1">
        <v>1029</v>
      </c>
      <c r="B1031" s="1" t="str">
        <f ca="1">IFERROR(__xludf.DUMMYFUNCTION("GOOGLETRANSLATE(B1031, ""en"", ""ko"")"),"겨울 활동")</f>
        <v>겨울 활동</v>
      </c>
      <c r="C1031" s="1">
        <v>19040</v>
      </c>
      <c r="D1031" s="1">
        <v>9</v>
      </c>
      <c r="E1031" s="1" t="str">
        <f ca="1">IFERROR(__xludf.DUMMYFUNCTION("GOOGLETRANSLATE(E1031, ""en"", ""ko"")"),"스케이팅, 얼음, 빠르게, 시속 9mile 이상이지만 경쟁적이지는 않음")</f>
        <v>스케이팅, 얼음, 빠르게, 시속 9mile 이상이지만 경쟁적이지는 않음</v>
      </c>
      <c r="M1031" s="1"/>
      <c r="O1031" s="1"/>
    </row>
    <row r="1032" spans="1:15" ht="16.5" customHeight="1">
      <c r="A1032" s="1">
        <v>1030</v>
      </c>
      <c r="B1032" s="1" t="str">
        <f ca="1">IFERROR(__xludf.DUMMYFUNCTION("GOOGLETRANSLATE(B1032, ""en"", ""ko"")"),"겨울 활동")</f>
        <v>겨울 활동</v>
      </c>
      <c r="C1032" s="1">
        <v>19045</v>
      </c>
      <c r="D1032" s="1">
        <v>9</v>
      </c>
      <c r="E1032" s="1" t="str">
        <f ca="1">IFERROR(__xludf.DUMMYFUNCTION("GOOGLETRANSLATE(E1032, ""en"", ""ko"")"),"스케이팅 러닝머신, 6-6.9mph, 2% 등급")</f>
        <v>스케이팅 러닝머신, 6-6.9mph, 2% 등급</v>
      </c>
      <c r="M1032" s="1"/>
      <c r="O1032" s="1"/>
    </row>
    <row r="1033" spans="1:15" ht="16.5" customHeight="1">
      <c r="A1033" s="1">
        <v>1031</v>
      </c>
      <c r="B1033" s="1" t="str">
        <f ca="1">IFERROR(__xludf.DUMMYFUNCTION("GOOGLETRANSLATE(B1033, ""en"", ""ko"")"),"겨울 활동")</f>
        <v>겨울 활동</v>
      </c>
      <c r="C1033" s="1">
        <v>19046</v>
      </c>
      <c r="D1033" s="1">
        <v>10</v>
      </c>
      <c r="E1033" s="1" t="str">
        <f ca="1">IFERROR(__xludf.DUMMYFUNCTION("GOOGLETRANSLATE(E1033, ""en"", ""ko"")"),"스케이팅 러닝머신, 7-7.9mph, 2% 등급")</f>
        <v>스케이팅 러닝머신, 7-7.9mph, 2% 등급</v>
      </c>
      <c r="M1033" s="1"/>
      <c r="O1033" s="1"/>
    </row>
    <row r="1034" spans="1:15" ht="16.5" customHeight="1">
      <c r="A1034" s="1">
        <v>1032</v>
      </c>
      <c r="B1034" s="1" t="str">
        <f ca="1">IFERROR(__xludf.DUMMYFUNCTION("GOOGLETRANSLATE(B1034, ""en"", ""ko"")"),"겨울 활동")</f>
        <v>겨울 활동</v>
      </c>
      <c r="C1034" s="1">
        <v>19047</v>
      </c>
      <c r="D1034" s="1">
        <v>10.5</v>
      </c>
      <c r="E1034" s="1" t="str">
        <f ca="1">IFERROR(__xludf.DUMMYFUNCTION("GOOGLETRANSLATE(E1034, ""en"", ""ko"")"),"스케이팅 러닝머신, 8-8.9mph, 2% 등급")</f>
        <v>스케이팅 러닝머신, 8-8.9mph, 2% 등급</v>
      </c>
      <c r="M1034" s="1"/>
      <c r="O1034" s="1"/>
    </row>
    <row r="1035" spans="1:15" ht="16.5" customHeight="1">
      <c r="A1035" s="1">
        <v>1033</v>
      </c>
      <c r="B1035" s="1" t="str">
        <f ca="1">IFERROR(__xludf.DUMMYFUNCTION("GOOGLETRANSLATE(B1035, ""en"", ""ko"")"),"겨울 활동")</f>
        <v>겨울 활동</v>
      </c>
      <c r="C1035" s="1">
        <v>19048</v>
      </c>
      <c r="D1035" s="1">
        <v>11</v>
      </c>
      <c r="E1035" s="1" t="str">
        <f ca="1">IFERROR(__xludf.DUMMYFUNCTION("GOOGLETRANSLATE(E1035, ""en"", ""ko"")"),"스케이팅 러닝머신, 9-9.9mph, 2% 등급")</f>
        <v>스케이팅 러닝머신, 9-9.9mph, 2% 등급</v>
      </c>
      <c r="M1035" s="1"/>
      <c r="O1035" s="1"/>
    </row>
    <row r="1036" spans="1:15" ht="16.5" customHeight="1">
      <c r="A1036" s="1">
        <v>1034</v>
      </c>
      <c r="B1036" s="1" t="str">
        <f ca="1">IFERROR(__xludf.DUMMYFUNCTION("GOOGLETRANSLATE(B1036, ""en"", ""ko"")"),"겨울 활동")</f>
        <v>겨울 활동</v>
      </c>
      <c r="C1036" s="1">
        <v>19050</v>
      </c>
      <c r="D1036" s="1">
        <v>13.8</v>
      </c>
      <c r="E1036" s="1" t="str">
        <f ca="1">IFERROR(__xludf.DUMMYFUNCTION("GOOGLETRANSLATE(E1036, ""en"", ""ko"")"),"스케이팅, 속도, 경쟁")</f>
        <v>스케이팅, 속도, 경쟁</v>
      </c>
      <c r="M1036" s="1"/>
      <c r="O1036" s="1"/>
    </row>
    <row r="1037" spans="1:15" ht="16.5" customHeight="1">
      <c r="A1037" s="1">
        <v>1035</v>
      </c>
      <c r="B1037" s="1" t="str">
        <f ca="1">IFERROR(__xludf.DUMMYFUNCTION("GOOGLETRANSLATE(B1037, ""en"", ""ko"")"),"겨울 활동")</f>
        <v>겨울 활동</v>
      </c>
      <c r="C1037" s="1">
        <v>19060</v>
      </c>
      <c r="D1037" s="1">
        <v>7</v>
      </c>
      <c r="E1037" s="1" t="str">
        <f ca="1">IFERROR(__xludf.DUMMYFUNCTION("GOOGLETRANSLATE(E1037, ""en"", ""ko"")"),"스키 점프, 스키를 들고 올라가다")</f>
        <v>스키 점프, 스키를 들고 올라가다</v>
      </c>
      <c r="M1037" s="1"/>
      <c r="O1037" s="1"/>
    </row>
    <row r="1038" spans="1:15" ht="16.5" customHeight="1">
      <c r="A1038" s="1">
        <v>1036</v>
      </c>
      <c r="B1038" s="1" t="str">
        <f ca="1">IFERROR(__xludf.DUMMYFUNCTION("GOOGLETRANSLATE(B1038, ""en"", ""ko"")"),"겨울 활동")</f>
        <v>겨울 활동</v>
      </c>
      <c r="C1038" s="1">
        <v>19075</v>
      </c>
      <c r="D1038" s="1">
        <v>7</v>
      </c>
      <c r="E1038" s="1" t="str">
        <f ca="1">IFERROR(__xludf.DUMMYFUNCTION("GOOGLETRANSLATE(E1038, ""en"", ""ko"")"),"스키, 일반")</f>
        <v>스키, 일반</v>
      </c>
      <c r="M1038" s="1"/>
      <c r="O1038" s="1"/>
    </row>
    <row r="1039" spans="1:15" ht="16.5" customHeight="1">
      <c r="A1039" s="1">
        <v>1037</v>
      </c>
      <c r="B1039" s="1" t="str">
        <f ca="1">IFERROR(__xludf.DUMMYFUNCTION("GOOGLETRANSLATE(B1039, ""en"", ""ko"")"),"겨울 활동")</f>
        <v>겨울 활동</v>
      </c>
      <c r="C1039" s="1">
        <v>19080</v>
      </c>
      <c r="D1039" s="1">
        <v>6.8</v>
      </c>
      <c r="E1039" s="1" t="str">
        <f ca="1">IFERROR(__xludf.DUMMYFUNCTION("GOOGLETRANSLATE(E1039, ""en"", ""ko"")"),"스키, 크로스컨트리, 시속 2.5mile, 느리거나 가벼운 노력, 스키 워킹")</f>
        <v>스키, 크로스컨트리, 시속 2.5mile, 느리거나 가벼운 노력, 스키 워킹</v>
      </c>
      <c r="M1039" s="1"/>
      <c r="O1039" s="1"/>
    </row>
    <row r="1040" spans="1:15" ht="16.5" customHeight="1">
      <c r="A1040" s="1">
        <v>1038</v>
      </c>
      <c r="B1040" s="1" t="str">
        <f ca="1">IFERROR(__xludf.DUMMYFUNCTION("GOOGLETRANSLATE(B1040, ""en"", ""ko"")"),"겨울 활동")</f>
        <v>겨울 활동</v>
      </c>
      <c r="C1040" s="1">
        <v>19090</v>
      </c>
      <c r="D1040" s="1">
        <v>8.5</v>
      </c>
      <c r="E1040" s="1" t="str">
        <f ca="1">IFERROR(__xludf.DUMMYFUNCTION("GOOGLETRANSLATE(E1040, ""en"", ""ko"")"),"스키, 크로스컨트리, 4.0-4.9mph, 중간 속도 및 노력, 일반")</f>
        <v>스키, 크로스컨트리, 4.0-4.9mph, 중간 속도 및 노력, 일반</v>
      </c>
      <c r="M1040" s="1"/>
      <c r="O1040" s="1"/>
    </row>
    <row r="1041" spans="1:15" ht="16.5" customHeight="1">
      <c r="A1041" s="1">
        <v>1039</v>
      </c>
      <c r="B1041" s="1" t="str">
        <f ca="1">IFERROR(__xludf.DUMMYFUNCTION("GOOGLETRANSLATE(B1041, ""en"", ""ko"")"),"겨울 활동")</f>
        <v>겨울 활동</v>
      </c>
      <c r="C1041" s="1">
        <v>19100</v>
      </c>
      <c r="D1041" s="1">
        <v>11.3</v>
      </c>
      <c r="E1041" s="1" t="str">
        <f ca="1">IFERROR(__xludf.DUMMYFUNCTION("GOOGLETRANSLATE(E1041, ""en"", ""ko"")"),"스키, 크로스컨트리, 시속 5.0-7.9mile, 빠른 속도, 강렬한 노력")</f>
        <v>스키, 크로스컨트리, 시속 5.0-7.9mile, 빠른 속도, 강렬한 노력</v>
      </c>
      <c r="M1041" s="1"/>
      <c r="O1041" s="1"/>
    </row>
    <row r="1042" spans="1:15" ht="16.5" customHeight="1">
      <c r="A1042" s="1">
        <v>1040</v>
      </c>
      <c r="B1042" s="1" t="str">
        <f ca="1">IFERROR(__xludf.DUMMYFUNCTION("GOOGLETRANSLATE(B1042, ""en"", ""ko"")"),"겨울 활동")</f>
        <v>겨울 활동</v>
      </c>
      <c r="C1042" s="1">
        <v>19110</v>
      </c>
      <c r="D1042" s="1">
        <v>14</v>
      </c>
      <c r="E1042" s="1" t="str">
        <f ca="1">IFERROR(__xludf.DUMMYFUNCTION("GOOGLETRANSLATE(E1042, ""en"", ""ko"")"),"스키, 크로스컨트리, 엘리트 스키어, &gt;8.0-11.9 mph, 레이싱")</f>
        <v>스키, 크로스컨트리, 엘리트 스키어, &gt;8.0-11.9 mph, 레이싱</v>
      </c>
      <c r="M1042" s="1"/>
      <c r="O1042" s="1"/>
    </row>
    <row r="1043" spans="1:15" ht="16.5" customHeight="1">
      <c r="A1043" s="1">
        <v>1041</v>
      </c>
      <c r="B1043" s="1" t="str">
        <f ca="1">IFERROR(__xludf.DUMMYFUNCTION("GOOGLETRANSLATE(B1043, ""en"", ""ko"")"),"겨울 활동")</f>
        <v>겨울 활동</v>
      </c>
      <c r="C1043" s="1">
        <v>19112</v>
      </c>
      <c r="D1043" s="1">
        <v>16</v>
      </c>
      <c r="E1043" s="1" t="str">
        <f ca="1">IFERROR(__xludf.DUMMYFUNCTION("GOOGLETRANSLATE(E1043, ""en"", ""ko"")"),"스키, 크로스컨트리, 시속 12-16mile, 엘리트 스키어, 레이싱")</f>
        <v>스키, 크로스컨트리, 시속 12-16mile, 엘리트 스키어, 레이싱</v>
      </c>
      <c r="M1043" s="1"/>
      <c r="O1043" s="1"/>
    </row>
    <row r="1044" spans="1:15" ht="16.5" customHeight="1">
      <c r="A1044" s="1">
        <v>1042</v>
      </c>
      <c r="B1044" s="1" t="str">
        <f ca="1">IFERROR(__xludf.DUMMYFUNCTION("GOOGLETRANSLATE(B1044, ""en"", ""ko"")"),"겨울 활동")</f>
        <v>겨울 활동</v>
      </c>
      <c r="C1044" s="1">
        <v>19115</v>
      </c>
      <c r="D1044" s="1">
        <v>9.5</v>
      </c>
      <c r="E1044" s="1" t="str">
        <f ca="1">IFERROR(__xludf.DUMMYFUNCTION("GOOGLETRANSLATE(E1044, ""en"", ""ko"")"),"스키, 크로스컨트리 스키 고강도 훈련")</f>
        <v>스키, 크로스컨트리 스키 고강도 훈련</v>
      </c>
      <c r="M1044" s="1"/>
      <c r="O1044" s="1"/>
    </row>
    <row r="1045" spans="1:15" ht="16.5" customHeight="1">
      <c r="A1045" s="1">
        <v>1043</v>
      </c>
      <c r="B1045" s="1" t="str">
        <f ca="1">IFERROR(__xludf.DUMMYFUNCTION("GOOGLETRANSLATE(B1045, ""en"", ""ko"")"),"겨울 활동")</f>
        <v>겨울 활동</v>
      </c>
      <c r="C1045" s="1">
        <v>19130</v>
      </c>
      <c r="D1045" s="1">
        <v>15.5</v>
      </c>
      <c r="E1045" s="1" t="str">
        <f ca="1">IFERROR(__xludf.DUMMYFUNCTION("GOOGLETRANSLATE(E1045, ""en"", ""ko"")"),"스키, 크로스컨트리, 딱딱한 눈, 오르막, 최대, 눈 등반")</f>
        <v>스키, 크로스컨트리, 딱딱한 눈, 오르막, 최대, 눈 등반</v>
      </c>
      <c r="M1045" s="1"/>
      <c r="O1045" s="1"/>
    </row>
    <row r="1046" spans="1:15" ht="16.5" customHeight="1">
      <c r="A1046" s="1">
        <v>1044</v>
      </c>
      <c r="B1046" s="1" t="str">
        <f ca="1">IFERROR(__xludf.DUMMYFUNCTION("GOOGLETRANSLATE(B1046, ""en"", ""ko"")"),"겨울 활동")</f>
        <v>겨울 활동</v>
      </c>
      <c r="C1046" s="1">
        <v>19135</v>
      </c>
      <c r="D1046" s="1">
        <v>13.3</v>
      </c>
      <c r="E1046" s="1" t="str">
        <f ca="1">IFERROR(__xludf.DUMMYFUNCTION("GOOGLETRANSLATE(E1046, ""en"", ""ko"")"),"스키, 크로스컨트리, 스케이팅")</f>
        <v>스키, 크로스컨트리, 스케이팅</v>
      </c>
      <c r="M1046" s="1"/>
      <c r="O1046" s="1"/>
    </row>
    <row r="1047" spans="1:15" ht="16.5" customHeight="1">
      <c r="A1047" s="1">
        <v>1045</v>
      </c>
      <c r="B1047" s="1" t="str">
        <f ca="1">IFERROR(__xludf.DUMMYFUNCTION("GOOGLETRANSLATE(B1047, ""en"", ""ko"")"),"겨울 활동")</f>
        <v>겨울 활동</v>
      </c>
      <c r="C1047" s="1">
        <v>19140</v>
      </c>
      <c r="D1047" s="1">
        <v>13.5</v>
      </c>
      <c r="E1047" s="1" t="str">
        <f ca="1">IFERROR(__xludf.DUMMYFUNCTION("GOOGLETRANSLATE(E1047, ""en"", ""ko"")"),"스키, 크로스컨트리, 바이애슬론, 스케이팅 기술")</f>
        <v>스키, 크로스컨트리, 바이애슬론, 스케이팅 기술</v>
      </c>
      <c r="M1047" s="1"/>
      <c r="O1047" s="1"/>
    </row>
    <row r="1048" spans="1:15" ht="16.5" customHeight="1">
      <c r="A1048" s="1">
        <v>1046</v>
      </c>
      <c r="B1048" s="1" t="str">
        <f ca="1">IFERROR(__xludf.DUMMYFUNCTION("GOOGLETRANSLATE(B1048, ""en"", ""ko"")"),"겨울 활동")</f>
        <v>겨울 활동</v>
      </c>
      <c r="C1048" s="1">
        <v>19142</v>
      </c>
      <c r="D1048" s="1">
        <v>12.8</v>
      </c>
      <c r="E1048" s="1" t="str">
        <f ca="1">IFERROR(__xludf.DUMMYFUNCTION("GOOGLETRANSLATE(E1048, ""en"", ""ko"")"),"바이애슬론 훈련, 경사도 5도, 시속 8km(5mph), 소총 착용/미착용")</f>
        <v>바이애슬론 훈련, 경사도 5도, 시속 8km(5mph), 소총 착용/미착용</v>
      </c>
      <c r="M1048" s="1"/>
      <c r="O1048" s="1"/>
    </row>
    <row r="1049" spans="1:15" ht="16.5" customHeight="1">
      <c r="A1049" s="1">
        <v>1047</v>
      </c>
      <c r="B1049" s="1" t="str">
        <f ca="1">IFERROR(__xludf.DUMMYFUNCTION("GOOGLETRANSLATE(B1049, ""en"", ""ko"")"),"겨울 활동")</f>
        <v>겨울 활동</v>
      </c>
      <c r="C1049" s="1">
        <v>19144</v>
      </c>
      <c r="D1049" s="1">
        <v>12.8</v>
      </c>
      <c r="E1049" s="1" t="str">
        <f ca="1">IFERROR(__xludf.DUMMYFUNCTION("GOOGLETRANSLATE(E1049, ""en"", ""ko"")"),"바이애슬론 훈련, 경사도 5도, 시속 10.7km(5mph), 소총 착용/미착용")</f>
        <v>바이애슬론 훈련, 경사도 5도, 시속 10.7km(5mph), 소총 착용/미착용</v>
      </c>
      <c r="M1049" s="1"/>
      <c r="O1049" s="1"/>
    </row>
    <row r="1050" spans="1:15" ht="16.5" customHeight="1">
      <c r="A1050" s="1">
        <v>1048</v>
      </c>
      <c r="B1050" s="1" t="str">
        <f ca="1">IFERROR(__xludf.DUMMYFUNCTION("GOOGLETRANSLATE(B1050, ""en"", ""ko"")"),"겨울 활동")</f>
        <v>겨울 활동</v>
      </c>
      <c r="C1050" s="1">
        <v>19146</v>
      </c>
      <c r="D1050" s="1">
        <v>9.3000000000000007</v>
      </c>
      <c r="E1050" s="1" t="str">
        <f ca="1">IFERROR(__xludf.DUMMYFUNCTION("GOOGLETRANSLATE(E1050, ""en"", ""ko"")"),"스키, 슬라롬")</f>
        <v>스키, 슬라롬</v>
      </c>
      <c r="M1050" s="1"/>
      <c r="O1050" s="1"/>
    </row>
    <row r="1051" spans="1:15" ht="16.5" customHeight="1">
      <c r="A1051" s="1">
        <v>1049</v>
      </c>
      <c r="B1051" s="1" t="str">
        <f ca="1">IFERROR(__xludf.DUMMYFUNCTION("GOOGLETRANSLATE(B1051, ""en"", ""ko"")"),"겨울 활동")</f>
        <v>겨울 활동</v>
      </c>
      <c r="C1051" s="1">
        <v>19150</v>
      </c>
      <c r="D1051" s="1">
        <v>4.3</v>
      </c>
      <c r="E1051" s="1" t="str">
        <f ca="1">IFERROR(__xludf.DUMMYFUNCTION("GOOGLETRANSLATE(E1051, ""en"", ""ko"")"),"스키, 다운힐, 알파인 또는 스노보드, 가벼운 노력, 활동적인 시간만 가능")</f>
        <v>스키, 다운힐, 알파인 또는 스노보드, 가벼운 노력, 활동적인 시간만 가능</v>
      </c>
      <c r="M1051" s="1"/>
      <c r="O1051" s="1"/>
    </row>
    <row r="1052" spans="1:15" ht="16.5" customHeight="1">
      <c r="A1052" s="1">
        <v>1050</v>
      </c>
      <c r="B1052" s="1" t="str">
        <f ca="1">IFERROR(__xludf.DUMMYFUNCTION("GOOGLETRANSLATE(B1052, ""en"", ""ko"")"),"겨울 활동")</f>
        <v>겨울 활동</v>
      </c>
      <c r="C1052" s="1">
        <v>19160</v>
      </c>
      <c r="D1052" s="1">
        <v>6.3</v>
      </c>
      <c r="E1052" s="1" t="str">
        <f ca="1">IFERROR(__xludf.DUMMYFUNCTION("GOOGLETRANSLATE(E1052, ""en"", ""ko"")"),"스키, 다운힐, 알파인 또는 스노보드, 중간 정도의 노력, 일반, 활동 시간만 가능")</f>
        <v>스키, 다운힐, 알파인 또는 스노보드, 중간 정도의 노력, 일반, 활동 시간만 가능</v>
      </c>
      <c r="M1052" s="1"/>
      <c r="O1052" s="1"/>
    </row>
    <row r="1053" spans="1:15" ht="16.5" customHeight="1">
      <c r="A1053" s="1">
        <v>1051</v>
      </c>
      <c r="B1053" s="1" t="str">
        <f ca="1">IFERROR(__xludf.DUMMYFUNCTION("GOOGLETRANSLATE(B1053, ""en"", ""ko"")"),"겨울 활동")</f>
        <v>겨울 활동</v>
      </c>
      <c r="C1053" s="1">
        <v>19170</v>
      </c>
      <c r="D1053" s="1">
        <v>8</v>
      </c>
      <c r="E1053" s="1" t="str">
        <f ca="1">IFERROR(__xludf.DUMMYFUNCTION("GOOGLETRANSLATE(E1053, ""en"", ""ko"")"),"스키, 다운힐, 알파인 또는 스노보드, 격렬한 노력, 활동적인 시간만 가능")</f>
        <v>스키, 다운힐, 알파인 또는 스노보드, 격렬한 노력, 활동적인 시간만 가능</v>
      </c>
      <c r="M1053" s="1"/>
      <c r="O1053" s="1"/>
    </row>
    <row r="1054" spans="1:15" ht="16.5" customHeight="1">
      <c r="A1054" s="1">
        <v>1052</v>
      </c>
      <c r="B1054" s="1" t="str">
        <f ca="1">IFERROR(__xludf.DUMMYFUNCTION("GOOGLETRANSLATE(B1054, ""en"", ""ko"")"),"겨울 활동")</f>
        <v>겨울 활동</v>
      </c>
      <c r="C1054" s="1">
        <v>19174</v>
      </c>
      <c r="D1054" s="1">
        <v>7.3</v>
      </c>
      <c r="E1054" s="1" t="str">
        <f ca="1">IFERROR(__xludf.DUMMYFUNCTION("GOOGLETRANSLATE(E1054, ""en"", ""ko"")"),"스키, 알파인 스키 고강도 훈련")</f>
        <v>스키, 알파인 스키 고강도 훈련</v>
      </c>
      <c r="M1054" s="1"/>
      <c r="O1054" s="1"/>
    </row>
    <row r="1055" spans="1:15" ht="16.5" customHeight="1">
      <c r="A1055" s="1">
        <v>1053</v>
      </c>
      <c r="B1055" s="1" t="str">
        <f ca="1">IFERROR(__xludf.DUMMYFUNCTION("GOOGLETRANSLATE(B1055, ""en"", ""ko"")"),"겨울 활동")</f>
        <v>겨울 활동</v>
      </c>
      <c r="C1055" s="1">
        <v>19180</v>
      </c>
      <c r="D1055" s="1">
        <v>7</v>
      </c>
      <c r="E1055" s="1" t="str">
        <f ca="1">IFERROR(__xludf.DUMMYFUNCTION("GOOGLETRANSLATE(E1055, ""en"", ""ko"")"),"썰매 타기, 썰매 타기, 봅슬레이, 루지")</f>
        <v>썰매 타기, 썰매 타기, 봅슬레이, 루지</v>
      </c>
      <c r="M1055" s="1"/>
      <c r="O1055" s="1"/>
    </row>
    <row r="1056" spans="1:15" ht="16.5" customHeight="1">
      <c r="A1056" s="1">
        <v>1054</v>
      </c>
      <c r="B1056" s="1" t="str">
        <f ca="1">IFERROR(__xludf.DUMMYFUNCTION("GOOGLETRANSLATE(B1056, ""en"", ""ko"")"),"겨울 활동")</f>
        <v>겨울 활동</v>
      </c>
      <c r="C1056" s="1">
        <v>19190</v>
      </c>
      <c r="D1056" s="1">
        <v>5.3</v>
      </c>
      <c r="E1056" s="1" t="str">
        <f ca="1">IFERROR(__xludf.DUMMYFUNCTION("GOOGLETRANSLATE(E1056, ""en"", ""ko"")"),"스노슈잉, 중간 정도의 노력")</f>
        <v>스노슈잉, 중간 정도의 노력</v>
      </c>
      <c r="M1056" s="1"/>
      <c r="O1056" s="1"/>
    </row>
    <row r="1057" spans="1:15" ht="16.5" customHeight="1">
      <c r="A1057" s="1">
        <v>1055</v>
      </c>
      <c r="B1057" s="1" t="str">
        <f ca="1">IFERROR(__xludf.DUMMYFUNCTION("GOOGLETRANSLATE(B1057, ""en"", ""ko"")"),"겨울 활동")</f>
        <v>겨울 활동</v>
      </c>
      <c r="C1057" s="1">
        <v>19192</v>
      </c>
      <c r="D1057" s="1">
        <v>10</v>
      </c>
      <c r="E1057" s="1" t="str">
        <f ca="1">IFERROR(__xludf.DUMMYFUNCTION("GOOGLETRANSLATE(E1057, ""en"", ""ko"")"),"스노슈잉, 힘찬 노력")</f>
        <v>스노슈잉, 힘찬 노력</v>
      </c>
      <c r="M1057" s="1"/>
      <c r="O1057" s="1"/>
    </row>
    <row r="1058" spans="1:15" ht="16.5" customHeight="1">
      <c r="A1058" s="1">
        <v>1056</v>
      </c>
      <c r="B1058" s="1" t="str">
        <f ca="1">IFERROR(__xludf.DUMMYFUNCTION("GOOGLETRANSLATE(B1058, ""en"", ""ko"")"),"겨울 활동")</f>
        <v>겨울 활동</v>
      </c>
      <c r="C1058" s="1">
        <v>19200</v>
      </c>
      <c r="D1058" s="1">
        <v>3.8</v>
      </c>
      <c r="E1058" s="1" t="str">
        <f ca="1">IFERROR(__xludf.DUMMYFUNCTION("GOOGLETRANSLATE(E1058, ""en"", ""ko"")"),"스노모빌, 운전, 중간 속도, 평지")</f>
        <v>스노모빌, 운전, 중간 속도, 평지</v>
      </c>
      <c r="M1058" s="1"/>
      <c r="O1058" s="1"/>
    </row>
    <row r="1059" spans="1:15" ht="16.5" customHeight="1">
      <c r="A1059" s="1">
        <v>1057</v>
      </c>
      <c r="B1059" s="1" t="str">
        <f ca="1">IFERROR(__xludf.DUMMYFUNCTION("GOOGLETRANSLATE(B1059, ""en"", ""ko"")"),"겨울 활동")</f>
        <v>겨울 활동</v>
      </c>
      <c r="C1059" s="1">
        <v>19201</v>
      </c>
      <c r="D1059" s="1">
        <v>7.5</v>
      </c>
      <c r="E1059" s="1" t="str">
        <f ca="1">IFERROR(__xludf.DUMMYFUNCTION("GOOGLETRANSLATE(E1059, ""en"", ""ko"")"),"스노보드, 레크리에이션, 중간 속도, 산악")</f>
        <v>스노보드, 레크리에이션, 중간 속도, 산악</v>
      </c>
      <c r="M1059" s="1"/>
      <c r="O1059" s="1"/>
    </row>
    <row r="1060" spans="1:15" ht="16.5" customHeight="1">
      <c r="A1060" s="1">
        <v>1058</v>
      </c>
      <c r="B1060" s="1" t="str">
        <f ca="1">IFERROR(__xludf.DUMMYFUNCTION("GOOGLETRANSLATE(B1060, ""en"", ""ko"")"),"겨울 활동")</f>
        <v>겨울 활동</v>
      </c>
      <c r="C1060" s="1">
        <v>19202</v>
      </c>
      <c r="D1060" s="1">
        <v>2</v>
      </c>
      <c r="E1060" s="1" t="str">
        <f ca="1">IFERROR(__xludf.DUMMYFUNCTION("GOOGLETRANSLATE(E1060, ""en"", ""ko"")"),"스노모빌, 승객, 경량")</f>
        <v>스노모빌, 승객, 경량</v>
      </c>
      <c r="M1060" s="1"/>
      <c r="O1060" s="1"/>
    </row>
    <row r="1061" spans="1:15" ht="16.5" customHeight="1">
      <c r="A1061" s="1">
        <v>1059</v>
      </c>
      <c r="B1061" s="1" t="str">
        <f ca="1">IFERROR(__xludf.DUMMYFUNCTION("GOOGLETRANSLATE(B1061, ""en"", ""ko"")"),"겨울 활동")</f>
        <v>겨울 활동</v>
      </c>
      <c r="C1061" s="1">
        <v>19252</v>
      </c>
      <c r="D1061" s="1">
        <v>5.3</v>
      </c>
      <c r="E1061" s="1" t="str">
        <f ca="1">IFERROR(__xludf.DUMMYFUNCTION("GOOGLETRANSLATE(E1061, ""en"", ""ko"")"),"손으로 눈 치우기, 적당한 노력")</f>
        <v>손으로 눈 치우기, 적당한 노력</v>
      </c>
      <c r="M1061" s="1"/>
      <c r="O1061" s="1"/>
    </row>
    <row r="1062" spans="1:15" ht="16.5" customHeight="1">
      <c r="A1062" s="1">
        <v>1060</v>
      </c>
      <c r="B1062" s="1" t="str">
        <f ca="1">IFERROR(__xludf.DUMMYFUNCTION("GOOGLETRANSLATE(B1062, ""en"", ""ko"")"),"겨울 활동")</f>
        <v>겨울 활동</v>
      </c>
      <c r="C1062" s="1">
        <v>19254</v>
      </c>
      <c r="D1062" s="1">
        <v>7.5</v>
      </c>
      <c r="E1062" s="1" t="str">
        <f ca="1">IFERROR(__xludf.DUMMYFUNCTION("GOOGLETRANSLATE(E1062, ""en"", ""ko"")"),"손으로 눈 치우기, 힘찬 노력")</f>
        <v>손으로 눈 치우기, 힘찬 노력</v>
      </c>
      <c r="M1062" s="1"/>
      <c r="O1062" s="1"/>
    </row>
    <row r="1063" spans="1:15" ht="16.5" customHeight="1">
      <c r="A1063" s="1">
        <v>1061</v>
      </c>
      <c r="B1063" s="1" t="str">
        <f ca="1">IFERROR(__xludf.DUMMYFUNCTION("GOOGLETRANSLATE(B1063, ""en"", ""ko"")"),"겨울 활동")</f>
        <v>겨울 활동</v>
      </c>
      <c r="C1063" s="1">
        <v>19260</v>
      </c>
      <c r="D1063" s="1">
        <v>2.5</v>
      </c>
      <c r="E1063" s="1" t="str">
        <f ca="1">IFERROR(__xludf.DUMMYFUNCTION("GOOGLETRANSLATE(E1063, ""en"", ""ko"")"),"제설기, 걷고 밀기")</f>
        <v>제설기, 걷고 밀기</v>
      </c>
      <c r="M1063" s="1"/>
      <c r="O1063" s="1"/>
    </row>
    <row r="1064" spans="1:15" ht="16.5" customHeight="1">
      <c r="A1064" s="1">
        <v>1062</v>
      </c>
      <c r="B1064" s="1" t="str">
        <f ca="1">IFERROR(__xludf.DUMMYFUNCTION("GOOGLETRANSLATE(B1064, ""en"", ""ko"")"),"겨울 활동")</f>
        <v>겨울 활동</v>
      </c>
      <c r="C1064" s="1">
        <v>19300</v>
      </c>
      <c r="D1064" s="1">
        <v>12.5</v>
      </c>
      <c r="E1064" s="1" t="str">
        <f ca="1">IFERROR(__xludf.DUMMYFUNCTION("GOOGLETRANSLATE(E1064, ""en"", ""ko"")"),"스키, 롤러, 엘리트 레이서")</f>
        <v>스키, 롤러, 엘리트 레이서</v>
      </c>
      <c r="M1064" s="1"/>
      <c r="O1064" s="1"/>
    </row>
    <row r="1065" spans="1:15" ht="16.5" customHeight="1">
      <c r="A1065" s="1">
        <v>1063</v>
      </c>
      <c r="B1065" s="1" t="str">
        <f ca="1">IFERROR(__xludf.DUMMYFUNCTION("GOOGLETRANSLATE(B1065, ""en"", ""ko"")"),"겨울 활동")</f>
        <v>겨울 활동</v>
      </c>
      <c r="C1065" s="1">
        <v>19305</v>
      </c>
      <c r="D1065" s="1">
        <v>5.5</v>
      </c>
      <c r="E1065" s="1" t="str">
        <f ca="1">IFERROR(__xludf.DUMMYFUNCTION("GOOGLETRANSLATE(E1065, ""en"", ""ko"")"),"롤러스키, 10~12.9km/h, 경사 없음")</f>
        <v>롤러스키, 10~12.9km/h, 경사 없음</v>
      </c>
      <c r="M1065" s="1"/>
      <c r="O1065" s="1"/>
    </row>
    <row r="1066" spans="1:15" ht="16.5" customHeight="1">
      <c r="A1066" s="1">
        <v>1064</v>
      </c>
      <c r="B1066" s="1" t="str">
        <f ca="1">IFERROR(__xludf.DUMMYFUNCTION("GOOGLETRANSLATE(B1066, ""en"", ""ko"")"),"겨울 활동")</f>
        <v>겨울 활동</v>
      </c>
      <c r="C1066" s="1">
        <v>19310</v>
      </c>
      <c r="D1066" s="1">
        <v>6.8</v>
      </c>
      <c r="E1066" s="1" t="str">
        <f ca="1">IFERROR(__xludf.DUMMYFUNCTION("GOOGLETRANSLATE(E1066, ""en"", ""ko"")"),"롤러스키, 13~16.9km/h, 경사 없음")</f>
        <v>롤러스키, 13~16.9km/h, 경사 없음</v>
      </c>
      <c r="M1066" s="1"/>
      <c r="O1066" s="1"/>
    </row>
    <row r="1067" spans="1:15" ht="16.5" customHeight="1">
      <c r="A1067" s="1">
        <v>1065</v>
      </c>
      <c r="B1067" s="1" t="str">
        <f ca="1">IFERROR(__xludf.DUMMYFUNCTION("GOOGLETRANSLATE(B1067, ""en"", ""ko"")"),"겨울 활동")</f>
        <v>겨울 활동</v>
      </c>
      <c r="C1067" s="1">
        <v>19315</v>
      </c>
      <c r="D1067" s="1">
        <v>8.3000000000000007</v>
      </c>
      <c r="E1067" s="1" t="str">
        <f ca="1">IFERROR(__xludf.DUMMYFUNCTION("GOOGLETRANSLATE(E1067, ""en"", ""ko"")"),"롤러스키, 17~19.9km/h, 경사 없음")</f>
        <v>롤러스키, 17~19.9km/h, 경사 없음</v>
      </c>
      <c r="M1067" s="1"/>
      <c r="O1067" s="1"/>
    </row>
    <row r="1068" spans="1:15" ht="16.5" customHeight="1">
      <c r="A1068" s="1">
        <v>1066</v>
      </c>
      <c r="B1068" s="1" t="str">
        <f ca="1">IFERROR(__xludf.DUMMYFUNCTION("GOOGLETRANSLATE(B1068, ""en"", ""ko"")"),"겨울 활동")</f>
        <v>겨울 활동</v>
      </c>
      <c r="C1068" s="1">
        <v>19320</v>
      </c>
      <c r="D1068" s="1">
        <v>10.5</v>
      </c>
      <c r="E1068" s="1" t="str">
        <f ca="1">IFERROR(__xludf.DUMMYFUNCTION("GOOGLETRANSLATE(E1068, ""en"", ""ko"")"),"롤러스키, 20~23.9km/h, 경사 없음")</f>
        <v>롤러스키, 20~23.9km/h, 경사 없음</v>
      </c>
      <c r="M1068" s="1"/>
      <c r="O1068" s="1"/>
    </row>
    <row r="1069" spans="1:15" ht="16.5" customHeight="1">
      <c r="A1069" s="1">
        <v>1067</v>
      </c>
      <c r="B1069" s="1" t="str">
        <f ca="1">IFERROR(__xludf.DUMMYFUNCTION("GOOGLETRANSLATE(B1069, ""en"", ""ko"")"),"겨울 활동")</f>
        <v>겨울 활동</v>
      </c>
      <c r="C1069" s="1">
        <v>19325</v>
      </c>
      <c r="D1069" s="1">
        <v>15</v>
      </c>
      <c r="E1069" s="1" t="str">
        <f ca="1">IFERROR(__xludf.DUMMYFUNCTION("GOOGLETRANSLATE(E1069, ""en"", ""ko"")"),"롤러스키, 24~27.9km/h, 경사 없음")</f>
        <v>롤러스키, 24~27.9km/h, 경사 없음</v>
      </c>
      <c r="M1069" s="1"/>
      <c r="O1069" s="1"/>
    </row>
    <row r="1070" spans="1:15" ht="16.5" customHeight="1">
      <c r="A1070" s="1">
        <v>1068</v>
      </c>
      <c r="B1070" s="1" t="str">
        <f ca="1">IFERROR(__xludf.DUMMYFUNCTION("GOOGLETRANSLATE(B1070, ""en"", ""ko"")"),"겨울 활동")</f>
        <v>겨울 활동</v>
      </c>
      <c r="C1070" s="1">
        <v>19330</v>
      </c>
      <c r="D1070" s="1">
        <v>12.5</v>
      </c>
      <c r="E1070" s="1" t="str">
        <f ca="1">IFERROR(__xludf.DUMMYFUNCTION("GOOGLETRANSLATE(E1070, ""en"", ""ko"")"),"롤러스키, 10-15km/h, 2-5도 경사")</f>
        <v>롤러스키, 10-15km/h, 2-5도 경사</v>
      </c>
      <c r="M1070" s="1"/>
      <c r="O1070" s="1"/>
    </row>
    <row r="1071" spans="1:15" ht="16.5" customHeight="1">
      <c r="A1071" s="1">
        <v>1069</v>
      </c>
      <c r="B1071" s="1" t="str">
        <f ca="1">IFERROR(__xludf.DUMMYFUNCTION("GOOGLETRANSLATE(B1071, ""en"", ""ko"")"),"겨울 활동")</f>
        <v>겨울 활동</v>
      </c>
      <c r="C1071" s="1">
        <v>19335</v>
      </c>
      <c r="D1071" s="1">
        <v>14.3</v>
      </c>
      <c r="E1071" s="1" t="str">
        <f ca="1">IFERROR(__xludf.DUMMYFUNCTION("GOOGLETRANSLATE(E1071, ""en"", ""ko"")"),"롤러스키, 16-22km/h, 2-5도 경사")</f>
        <v>롤러스키, 16-22km/h, 2-5도 경사</v>
      </c>
      <c r="M1071" s="1"/>
      <c r="O1071" s="1"/>
    </row>
    <row r="1072" spans="1:15" ht="16.5" customHeight="1">
      <c r="A1072" s="1">
        <v>1070</v>
      </c>
      <c r="B1072" s="1" t="str">
        <f ca="1">IFERROR(__xludf.DUMMYFUNCTION("GOOGLETRANSLATE(B1072, ""en"", ""ko"")"),"겨울 활동")</f>
        <v>겨울 활동</v>
      </c>
      <c r="C1072" s="1">
        <v>19340</v>
      </c>
      <c r="D1072" s="1">
        <v>12.3</v>
      </c>
      <c r="E1072" s="1" t="str">
        <f ca="1">IFERROR(__xludf.DUMMYFUNCTION("GOOGLETRANSLATE(E1072, ""en"", ""ko"")"),"롤러스키, 6-9km/h, 6-10도 경사")</f>
        <v>롤러스키, 6-9km/h, 6-10도 경사</v>
      </c>
      <c r="M1072" s="1"/>
      <c r="O1072" s="1"/>
    </row>
    <row r="1073" spans="1:15" ht="16.5" customHeight="1">
      <c r="A1073" s="1">
        <v>1071</v>
      </c>
      <c r="B1073" s="1" t="str">
        <f ca="1">IFERROR(__xludf.DUMMYFUNCTION("GOOGLETRANSLATE(B1073, ""en"", ""ko"")"),"겨울 활동")</f>
        <v>겨울 활동</v>
      </c>
      <c r="C1073" s="1">
        <v>19345</v>
      </c>
      <c r="D1073" s="1">
        <v>16</v>
      </c>
      <c r="E1073" s="1" t="str">
        <f ca="1">IFERROR(__xludf.DUMMYFUNCTION("GOOGLETRANSLATE(E1073, ""en"", ""ko"")"),"롤러스키, &gt;10km/h, 6-10도 경사")</f>
        <v>롤러스키, &gt;10km/h, 6-10도 경사</v>
      </c>
      <c r="M1073" s="1"/>
      <c r="O1073" s="1"/>
    </row>
    <row r="1074" spans="1:15" ht="16.5" customHeight="1">
      <c r="A1074" s="1">
        <v>1072</v>
      </c>
      <c r="B1074" s="1" t="str">
        <f ca="1">IFERROR(__xludf.DUMMYFUNCTION("GOOGLETRANSLATE(B1074, ""en"", ""ko"")"),"겨울 활동")</f>
        <v>겨울 활동</v>
      </c>
      <c r="C1074" s="1">
        <v>19400</v>
      </c>
      <c r="D1074" s="1">
        <v>9</v>
      </c>
      <c r="E1074" s="1" t="str">
        <f ca="1">IFERROR(__xludf.DUMMYFUNCTION("GOOGLETRANSLATE(E1074, ""en"", ""ko"")"),"등산, 내리막 등반, 로프를 잡고 걸어 내려가기")</f>
        <v>등산, 내리막 등반, 로프를 잡고 걸어 내려가기</v>
      </c>
      <c r="M1074" s="1"/>
      <c r="O1074" s="1"/>
    </row>
    <row r="1075" spans="1:15" ht="16.5" customHeight="1">
      <c r="A1075" s="1">
        <v>1073</v>
      </c>
      <c r="B1075" s="1" t="str">
        <f ca="1">IFERROR(__xludf.DUMMYFUNCTION("GOOGLETRANSLATE(B1075, ""en"", ""ko"")"),"겨울 활동")</f>
        <v>겨울 활동</v>
      </c>
      <c r="C1075" s="1">
        <v>19405</v>
      </c>
      <c r="D1075" s="1">
        <v>10.3</v>
      </c>
      <c r="E1075" s="1" t="str">
        <f ca="1">IFERROR(__xludf.DUMMYFUNCTION("GOOGLETRANSLATE(E1075, ""en"", ""ko"")"),"등산, 다운힐 등반/크로스컨트리 스키")</f>
        <v>등산, 다운힐 등반/크로스컨트리 스키</v>
      </c>
      <c r="M1075" s="1"/>
      <c r="O1075" s="1"/>
    </row>
    <row r="1076" spans="1:15" ht="16.5" customHeight="1">
      <c r="A1076" s="1">
        <v>1074</v>
      </c>
      <c r="B1076" s="1" t="str">
        <f ca="1">IFERROR(__xludf.DUMMYFUNCTION("GOOGLETRANSLATE(B1076, ""en"", ""ko"")"),"종교 활동")</f>
        <v>종교 활동</v>
      </c>
      <c r="C1076" s="1">
        <v>20000</v>
      </c>
      <c r="D1076" s="1">
        <v>1</v>
      </c>
      <c r="E1076" s="1" t="str">
        <f ca="1">IFERROR(__xludf.DUMMYFUNCTION("GOOGLETRANSLATE(E1076, ""en"", ""ko"")"),"교회에 앉아 있을 때, 예배에 참석할 때, 의식에 참석할 때, 조용히 앉아 있을 때")</f>
        <v>교회에 앉아 있을 때, 예배에 참석할 때, 의식에 참석할 때, 조용히 앉아 있을 때</v>
      </c>
      <c r="M1076" s="1"/>
      <c r="O1076" s="1"/>
    </row>
    <row r="1077" spans="1:15" ht="16.5" customHeight="1">
      <c r="A1077" s="1">
        <v>1075</v>
      </c>
      <c r="B1077" s="1" t="str">
        <f ca="1">IFERROR(__xludf.DUMMYFUNCTION("GOOGLETRANSLATE(B1077, ""en"", ""ko"")"),"종교 활동")</f>
        <v>종교 활동</v>
      </c>
      <c r="C1077" s="1">
        <v>20001</v>
      </c>
      <c r="D1077" s="1">
        <v>2</v>
      </c>
      <c r="E1077" s="1" t="str">
        <f ca="1">IFERROR(__xludf.DUMMYFUNCTION("GOOGLETRANSLATE(E1077, ""en"", ""ko"")"),"교회에서 앉아서 악기를 연주하다")</f>
        <v>교회에서 앉아서 악기를 연주하다</v>
      </c>
      <c r="M1077" s="1"/>
      <c r="O1077" s="1"/>
    </row>
    <row r="1078" spans="1:15" ht="16.5" customHeight="1">
      <c r="A1078" s="1">
        <v>1076</v>
      </c>
      <c r="B1078" s="1" t="str">
        <f ca="1">IFERROR(__xludf.DUMMYFUNCTION("GOOGLETRANSLATE(B1078, ""en"", ""ko"")"),"종교 활동")</f>
        <v>종교 활동</v>
      </c>
      <c r="C1078" s="1">
        <v>20005</v>
      </c>
      <c r="D1078" s="1">
        <v>1.8</v>
      </c>
      <c r="E1078" s="1" t="str">
        <f ca="1">IFERROR(__xludf.DUMMYFUNCTION("GOOGLETRANSLATE(E1078, ""en"", ""ko"")"),"교회에 앉아 이야기하거나 노래 부르기, 의식 참석하기, 앉아 있기, 적극적으로 참여하기")</f>
        <v>교회에 앉아 이야기하거나 노래 부르기, 의식 참석하기, 앉아 있기, 적극적으로 참여하기</v>
      </c>
      <c r="M1078" s="1"/>
      <c r="O1078" s="1"/>
    </row>
    <row r="1079" spans="1:15" ht="16.5" customHeight="1">
      <c r="A1079" s="1">
        <v>1077</v>
      </c>
      <c r="B1079" s="1" t="str">
        <f ca="1">IFERROR(__xludf.DUMMYFUNCTION("GOOGLETRANSLATE(B1079, ""en"", ""ko"")"),"종교 활동")</f>
        <v>종교 활동</v>
      </c>
      <c r="C1079" s="1">
        <v>20010</v>
      </c>
      <c r="D1079" s="1">
        <v>1.5</v>
      </c>
      <c r="E1079" s="1" t="str">
        <f ca="1">IFERROR(__xludf.DUMMYFUNCTION("GOOGLETRANSLATE(E1079, ""en"", ""ko"")"),"집에서 앉아서 종교 자료를 읽는다")</f>
        <v>집에서 앉아서 종교 자료를 읽는다</v>
      </c>
      <c r="M1079" s="1"/>
      <c r="O1079" s="1"/>
    </row>
    <row r="1080" spans="1:15" ht="16.5" customHeight="1">
      <c r="A1080" s="1">
        <v>1078</v>
      </c>
      <c r="B1080" s="1" t="str">
        <f ca="1">IFERROR(__xludf.DUMMYFUNCTION("GOOGLETRANSLATE(B1080, ""en"", ""ko"")"),"종교 활동")</f>
        <v>종교 활동</v>
      </c>
      <c r="C1080" s="1">
        <v>20015</v>
      </c>
      <c r="D1080" s="1">
        <v>1.3</v>
      </c>
      <c r="E1080" s="1" t="str">
        <f ca="1">IFERROR(__xludf.DUMMYFUNCTION("GOOGLETRANSLATE(E1080, ""en"", ""ko"")"),"교회에서 조용히 서서 의식에 참석하다")</f>
        <v>교회에서 조용히 서서 의식에 참석하다</v>
      </c>
      <c r="M1080" s="1"/>
      <c r="O1080" s="1"/>
    </row>
    <row r="1081" spans="1:15" ht="16.5" customHeight="1">
      <c r="A1081" s="1">
        <v>1079</v>
      </c>
      <c r="B1081" s="1" t="str">
        <f ca="1">IFERROR(__xludf.DUMMYFUNCTION("GOOGLETRANSLATE(B1081, ""en"", ""ko"")"),"종교 활동")</f>
        <v>종교 활동</v>
      </c>
      <c r="C1081" s="1">
        <v>20020</v>
      </c>
      <c r="D1081" s="1">
        <v>2</v>
      </c>
      <c r="E1081" s="1" t="str">
        <f ca="1">IFERROR(__xludf.DUMMYFUNCTION("GOOGLETRANSLATE(E1081, ""en"", ""ko"")"),"서서, 교회에서 노래 부르기, 의식 참석하기, 서서, 적극적으로 참여하기")</f>
        <v>서서, 교회에서 노래 부르기, 의식 참석하기, 서서, 적극적으로 참여하기</v>
      </c>
      <c r="M1081" s="1"/>
      <c r="O1081" s="1"/>
    </row>
    <row r="1082" spans="1:15" ht="16.5" customHeight="1">
      <c r="A1082" s="1">
        <v>1080</v>
      </c>
      <c r="B1082" s="1" t="str">
        <f ca="1">IFERROR(__xludf.DUMMYFUNCTION("GOOGLETRANSLATE(B1082, ""en"", ""ko"")"),"종교 활동")</f>
        <v>종교 활동</v>
      </c>
      <c r="C1082" s="1">
        <v>20025</v>
      </c>
      <c r="D1082" s="1">
        <v>1.3</v>
      </c>
      <c r="E1082" s="1" t="str">
        <f ca="1">IFERROR(__xludf.DUMMYFUNCTION("GOOGLETRANSLATE(E1082, ""en"", ""ko"")"),"교회나 집에서 무릎을 꿇고 기도하다")</f>
        <v>교회나 집에서 무릎을 꿇고 기도하다</v>
      </c>
      <c r="M1082" s="1"/>
      <c r="O1082" s="1"/>
    </row>
    <row r="1083" spans="1:15" ht="16.5" customHeight="1">
      <c r="A1083" s="1">
        <v>1081</v>
      </c>
      <c r="B1083" s="1" t="str">
        <f ca="1">IFERROR(__xludf.DUMMYFUNCTION("GOOGLETRANSLATE(B1083, ""en"", ""ko"")"),"종교 활동")</f>
        <v>종교 활동</v>
      </c>
      <c r="C1083" s="1">
        <v>20030</v>
      </c>
      <c r="D1083" s="1">
        <v>1.3</v>
      </c>
      <c r="E1083" s="1" t="str">
        <f ca="1">IFERROR(__xludf.DUMMYFUNCTION("GOOGLETRANSLATE(E1083, ""en"", ""ko"")"),"교회에서 서서 이야기하다")</f>
        <v>교회에서 서서 이야기하다</v>
      </c>
      <c r="M1083" s="1"/>
      <c r="O1083" s="1"/>
    </row>
    <row r="1084" spans="1:15" ht="16.5" customHeight="1">
      <c r="A1084" s="1">
        <v>1082</v>
      </c>
      <c r="B1084" s="1" t="str">
        <f ca="1">IFERROR(__xludf.DUMMYFUNCTION("GOOGLETRANSLATE(B1084, ""en"", ""ko"")"),"종교 활동")</f>
        <v>종교 활동</v>
      </c>
      <c r="C1084" s="1">
        <v>20035</v>
      </c>
      <c r="D1084" s="1">
        <v>2</v>
      </c>
      <c r="E1084" s="1" t="str">
        <f ca="1">IFERROR(__xludf.DUMMYFUNCTION("GOOGLETRANSLATE(E1084, ""en"", ""ko"")"),"교회에서 산책하다")</f>
        <v>교회에서 산책하다</v>
      </c>
      <c r="M1084" s="1"/>
      <c r="O1084" s="1"/>
    </row>
    <row r="1085" spans="1:15" ht="16.5" customHeight="1">
      <c r="A1085" s="1">
        <v>1083</v>
      </c>
      <c r="B1085" s="1" t="str">
        <f ca="1">IFERROR(__xludf.DUMMYFUNCTION("GOOGLETRANSLATE(B1085, ""en"", ""ko"")"),"종교 활동")</f>
        <v>종교 활동</v>
      </c>
      <c r="C1085" s="1">
        <v>20036</v>
      </c>
      <c r="D1085" s="1">
        <v>2</v>
      </c>
      <c r="E1085" s="1" t="str">
        <f ca="1">IFERROR(__xludf.DUMMYFUNCTION("GOOGLETRANSLATE(E1085, ""en"", ""ko"")"),"걷기, 시속 2.0mile 미만, 매우 느림")</f>
        <v>걷기, 시속 2.0mile 미만, 매우 느림</v>
      </c>
      <c r="M1085" s="1"/>
      <c r="O1085" s="1"/>
    </row>
    <row r="1086" spans="1:15" ht="16.5" customHeight="1">
      <c r="A1086" s="1">
        <v>1084</v>
      </c>
      <c r="B1086" s="1" t="str">
        <f ca="1">IFERROR(__xludf.DUMMYFUNCTION("GOOGLETRANSLATE(B1086, ""en"", ""ko"")"),"종교 활동")</f>
        <v>종교 활동</v>
      </c>
      <c r="C1086" s="1">
        <v>20037</v>
      </c>
      <c r="D1086" s="1">
        <v>3.8</v>
      </c>
      <c r="E1086" s="1" t="str">
        <f ca="1">IFERROR(__xludf.DUMMYFUNCTION("GOOGLETRANSLATE(E1086, ""en"", ""ko"")"),"걷기, 시속 2.8~3.4mile, 중간 속도, 아무것도 가지고 있지 않음")</f>
        <v>걷기, 시속 2.8~3.4mile, 중간 속도, 아무것도 가지고 있지 않음</v>
      </c>
      <c r="M1086" s="1"/>
      <c r="O1086" s="1"/>
    </row>
    <row r="1087" spans="1:15" ht="16.5" customHeight="1">
      <c r="A1087" s="1">
        <v>1085</v>
      </c>
      <c r="B1087" s="1" t="str">
        <f ca="1">IFERROR(__xludf.DUMMYFUNCTION("GOOGLETRANSLATE(B1087, ""en"", ""ko"")"),"종교 활동")</f>
        <v>종교 활동</v>
      </c>
      <c r="C1087" s="1">
        <v>20038</v>
      </c>
      <c r="D1087" s="1">
        <v>4.8</v>
      </c>
      <c r="E1087" s="1" t="str">
        <f ca="1">IFERROR(__xludf.DUMMYFUNCTION("GOOGLETRANSLATE(E1087, ""en"", ""ko"")"),"걷기, 시속 3.5~3.9mile, 빠른 속도, 아무것도 들고 있지 않음")</f>
        <v>걷기, 시속 3.5~3.9mile, 빠른 속도, 아무것도 들고 있지 않음</v>
      </c>
      <c r="M1087" s="1"/>
      <c r="O1087" s="1"/>
    </row>
    <row r="1088" spans="1:15" ht="16.5" customHeight="1">
      <c r="A1088" s="1">
        <v>1086</v>
      </c>
      <c r="B1088" s="1" t="str">
        <f ca="1">IFERROR(__xludf.DUMMYFUNCTION("GOOGLETRANSLATE(B1088, ""en"", ""ko"")"),"종교 활동")</f>
        <v>종교 활동</v>
      </c>
      <c r="C1088" s="1">
        <v>20039</v>
      </c>
      <c r="D1088" s="1">
        <v>2</v>
      </c>
      <c r="E1088" s="1" t="str">
        <f ca="1">IFERROR(__xludf.DUMMYFUNCTION("GOOGLETRANSLATE(E1088, ""en"", ""ko"")"),"종교적 목적을 위한 워크/스탠드 조합, 안내원")</f>
        <v>종교적 목적을 위한 워크/스탠드 조합, 안내원</v>
      </c>
      <c r="M1088" s="1"/>
      <c r="O1088" s="1"/>
    </row>
    <row r="1089" spans="1:15" ht="16.5" customHeight="1">
      <c r="A1089" s="1">
        <v>1087</v>
      </c>
      <c r="B1089" s="1" t="str">
        <f ca="1">IFERROR(__xludf.DUMMYFUNCTION("GOOGLETRANSLATE(B1089, ""en"", ""ko"")"),"종교 활동")</f>
        <v>종교 활동</v>
      </c>
      <c r="C1089" s="1">
        <v>20040</v>
      </c>
      <c r="D1089" s="1">
        <v>5</v>
      </c>
      <c r="E1089" s="1" t="str">
        <f ca="1">IFERROR(__xludf.DUMMYFUNCTION("GOOGLETRANSLATE(E1089, ""en"", ""ko"")"),"춤으로 찬양하거나, 교회에서 달리며 영적인 춤을 추는 것")</f>
        <v>춤으로 찬양하거나, 교회에서 달리며 영적인 춤을 추는 것</v>
      </c>
      <c r="M1089" s="1"/>
      <c r="O1089" s="1"/>
    </row>
    <row r="1090" spans="1:15" ht="16.5" customHeight="1">
      <c r="A1090" s="1">
        <v>1088</v>
      </c>
      <c r="B1090" s="1" t="str">
        <f ca="1">IFERROR(__xludf.DUMMYFUNCTION("GOOGLETRANSLATE(B1090, ""en"", ""ko"")"),"종교 활동")</f>
        <v>종교 활동</v>
      </c>
      <c r="C1090" s="1">
        <v>20045</v>
      </c>
      <c r="D1090" s="1">
        <v>2.2999999999999998</v>
      </c>
      <c r="E1090" s="1" t="str">
        <f ca="1">IFERROR(__xludf.DUMMYFUNCTION("GOOGLETRANSLATE(E1090, ""en"", ""ko"")"),"교회에서 음식 제공")</f>
        <v>교회에서 음식 제공</v>
      </c>
      <c r="M1090" s="1"/>
      <c r="O1090" s="1"/>
    </row>
    <row r="1091" spans="1:15" ht="16.5" customHeight="1">
      <c r="A1091" s="1">
        <v>1089</v>
      </c>
      <c r="B1091" s="1" t="str">
        <f ca="1">IFERROR(__xludf.DUMMYFUNCTION("GOOGLETRANSLATE(B1091, ""en"", ""ko"")"),"종교 활동")</f>
        <v>종교 활동</v>
      </c>
      <c r="C1091" s="1">
        <v>20046</v>
      </c>
      <c r="D1091" s="1">
        <v>2</v>
      </c>
      <c r="E1091" s="1" t="str">
        <f ca="1">IFERROR(__xludf.DUMMYFUNCTION("GOOGLETRANSLATE(E1091, ""en"", ""ko"")"),"교회에서 음식 준비하기")</f>
        <v>교회에서 음식 준비하기</v>
      </c>
      <c r="M1091" s="1"/>
      <c r="O1091" s="1"/>
    </row>
    <row r="1092" spans="1:15" ht="16.5" customHeight="1">
      <c r="A1092" s="1">
        <v>1090</v>
      </c>
      <c r="B1092" s="1" t="str">
        <f ca="1">IFERROR(__xludf.DUMMYFUNCTION("GOOGLETRANSLATE(B1092, ""en"", ""ko"")"),"종교 활동")</f>
        <v>종교 활동</v>
      </c>
      <c r="C1092" s="1">
        <v>20047</v>
      </c>
      <c r="D1092" s="1">
        <v>3.3</v>
      </c>
      <c r="E1092" s="1" t="str">
        <f ca="1">IFERROR(__xludf.DUMMYFUNCTION("GOOGLETRANSLATE(E1092, ""en"", ""ko"")"),"교회에서 설거지, 주방 청소")</f>
        <v>교회에서 설거지, 주방 청소</v>
      </c>
      <c r="M1092" s="1"/>
      <c r="O1092" s="1"/>
    </row>
    <row r="1093" spans="1:15" ht="16.5" customHeight="1">
      <c r="A1093" s="1">
        <v>1091</v>
      </c>
      <c r="B1093" s="1" t="str">
        <f ca="1">IFERROR(__xludf.DUMMYFUNCTION("GOOGLETRANSLATE(B1093, ""en"", ""ko"")"),"종교 활동")</f>
        <v>종교 활동</v>
      </c>
      <c r="C1093" s="1">
        <v>20050</v>
      </c>
      <c r="D1093" s="1">
        <v>1.5</v>
      </c>
      <c r="E1093" s="1" t="str">
        <f ca="1">IFERROR(__xludf.DUMMYFUNCTION("GOOGLETRANSLATE(E1093, ""en"", ""ko"")"),"교회에서 식사하다")</f>
        <v>교회에서 식사하다</v>
      </c>
      <c r="M1093" s="1"/>
      <c r="O1093" s="1"/>
    </row>
    <row r="1094" spans="1:15" ht="16.5" customHeight="1">
      <c r="A1094" s="1">
        <v>1092</v>
      </c>
      <c r="B1094" s="1" t="str">
        <f ca="1">IFERROR(__xludf.DUMMYFUNCTION("GOOGLETRANSLATE(B1094, ""en"", ""ko"")"),"종교 활동")</f>
        <v>종교 활동</v>
      </c>
      <c r="C1094" s="1">
        <v>20055</v>
      </c>
      <c r="D1094" s="1">
        <v>2</v>
      </c>
      <c r="E1094" s="1" t="str">
        <f ca="1">IFERROR(__xludf.DUMMYFUNCTION("GOOGLETRANSLATE(E1094, ""en"", ""ko"")"),"교회에서 식사/대화 또는 서서 식사, 미국 인디언 축제일")</f>
        <v>교회에서 식사/대화 또는 서서 식사, 미국 인디언 축제일</v>
      </c>
      <c r="M1094" s="1"/>
      <c r="O1094" s="1"/>
    </row>
    <row r="1095" spans="1:15" ht="16.5" customHeight="1">
      <c r="A1095" s="1">
        <v>1093</v>
      </c>
      <c r="B1095" s="1" t="str">
        <f ca="1">IFERROR(__xludf.DUMMYFUNCTION("GOOGLETRANSLATE(B1095, ""en"", ""ko"")"),"종교 활동")</f>
        <v>종교 활동</v>
      </c>
      <c r="C1095" s="1">
        <v>20060</v>
      </c>
      <c r="D1095" s="1">
        <v>3.3</v>
      </c>
      <c r="E1095" s="1" t="str">
        <f ca="1">IFERROR(__xludf.DUMMYFUNCTION("GOOGLETRANSLATE(E1095, ""en"", ""ko"")"),"교회 청소")</f>
        <v>교회 청소</v>
      </c>
      <c r="M1095" s="1"/>
      <c r="O1095" s="1"/>
    </row>
    <row r="1096" spans="1:15" ht="16.5" customHeight="1">
      <c r="A1096" s="1">
        <v>1094</v>
      </c>
      <c r="B1096" s="1" t="str">
        <f ca="1">IFERROR(__xludf.DUMMYFUNCTION("GOOGLETRANSLATE(B1096, ""en"", ""ko"")"),"종교 활동")</f>
        <v>종교 활동</v>
      </c>
      <c r="C1096" s="1">
        <v>20061</v>
      </c>
      <c r="D1096" s="1">
        <v>4</v>
      </c>
      <c r="E1096" s="1" t="str">
        <f ca="1">IFERROR(__xludf.DUMMYFUNCTION("GOOGLETRANSLATE(E1096, ""en"", ""ko"")"),"교회의 일반적인 정원 작업")</f>
        <v>교회의 일반적인 정원 작업</v>
      </c>
      <c r="M1096" s="1"/>
      <c r="O1096" s="1"/>
    </row>
    <row r="1097" spans="1:15" ht="16.5" customHeight="1">
      <c r="A1097" s="1">
        <v>1095</v>
      </c>
      <c r="B1097" s="1" t="str">
        <f ca="1">IFERROR(__xludf.DUMMYFUNCTION("GOOGLETRANSLATE(B1097, ""en"", ""ko"")"),"종교 활동")</f>
        <v>종교 활동</v>
      </c>
      <c r="C1097" s="1">
        <v>20065</v>
      </c>
      <c r="D1097" s="1">
        <v>3.8</v>
      </c>
      <c r="E1097" s="1" t="str">
        <f ca="1">IFERROR(__xludf.DUMMYFUNCTION("GOOGLETRANSLATE(E1097, ""en"", ""ko"")"),"서서, 중간 정도의 노력(예: 무거운 물건 들어올리기, 빠른 속도로 조립하기)")</f>
        <v>서서, 중간 정도의 노력(예: 무거운 물건 들어올리기, 빠른 속도로 조립하기)</v>
      </c>
      <c r="M1097" s="1"/>
      <c r="O1097" s="1"/>
    </row>
    <row r="1098" spans="1:15" ht="16.5" customHeight="1">
      <c r="A1098" s="1">
        <v>1096</v>
      </c>
      <c r="B1098" s="1" t="str">
        <f ca="1">IFERROR(__xludf.DUMMYFUNCTION("GOOGLETRANSLATE(B1098, ""en"", ""ko"")"),"종교 활동")</f>
        <v>종교 활동</v>
      </c>
      <c r="C1098" s="1">
        <v>20095</v>
      </c>
      <c r="D1098" s="1">
        <v>4.5</v>
      </c>
      <c r="E1098" s="1" t="str">
        <f ca="1">IFERROR(__xludf.DUMMYFUNCTION("GOOGLETRANSLATE(E1098, ""en"", ""ko"")"),"서서, 중간에서 무거운 노력, 육체 노동, 50poud 들어올리기, 무거운 유지 관리")</f>
        <v>서서, 중간에서 무거운 노력, 육체 노동, 50poud 들어올리기, 무거운 유지 관리</v>
      </c>
      <c r="M1098" s="1"/>
      <c r="O1098" s="1"/>
    </row>
    <row r="1099" spans="1:15" ht="16.5" customHeight="1">
      <c r="A1099" s="1">
        <v>1097</v>
      </c>
      <c r="B1099" s="1" t="str">
        <f ca="1">IFERROR(__xludf.DUMMYFUNCTION("GOOGLETRANSLATE(B1099, ""en"", ""ko"")"),"종교 활동")</f>
        <v>종교 활동</v>
      </c>
      <c r="C1099" s="1">
        <v>20100</v>
      </c>
      <c r="D1099" s="1">
        <v>1.3</v>
      </c>
      <c r="E1099" s="1" t="str">
        <f ca="1">IFERROR(__xludf.DUMMYFUNCTION("GOOGLETRANSLATE(E1099, ""en"", ""ko"")"),"타이핑, 전기, 수동 또는 컴퓨터")</f>
        <v>타이핑, 전기, 수동 또는 컴퓨터</v>
      </c>
      <c r="M1099" s="1"/>
      <c r="O1099" s="1"/>
    </row>
    <row r="1100" spans="1:15" ht="16.5" customHeight="1">
      <c r="A1100" s="1">
        <v>1098</v>
      </c>
      <c r="B1100" s="1" t="str">
        <f ca="1">IFERROR(__xludf.DUMMYFUNCTION("GOOGLETRANSLATE(B1100, ""en"", ""ko"")"),"자원봉사 활동")</f>
        <v>자원봉사 활동</v>
      </c>
      <c r="C1100" s="1">
        <v>21000</v>
      </c>
      <c r="D1100" s="1">
        <v>1.3</v>
      </c>
      <c r="E1100" s="1" t="str">
        <f ca="1">IFERROR(__xludf.DUMMYFUNCTION("GOOGLETRANSLATE(E1100, ""en"", ""ko"")"),"앉아서, 회의하고, 일반적으로, 그리고/또는 대화가 포함됨")</f>
        <v>앉아서, 회의하고, 일반적으로, 그리고/또는 대화가 포함됨</v>
      </c>
      <c r="M1100" s="1"/>
      <c r="O1100" s="1"/>
    </row>
    <row r="1101" spans="1:15" ht="16.5" customHeight="1">
      <c r="A1101" s="1">
        <v>1099</v>
      </c>
      <c r="B1101" s="1" t="str">
        <f ca="1">IFERROR(__xludf.DUMMYFUNCTION("GOOGLETRANSLATE(B1101, ""en"", ""ko"")"),"자원봉사 활동")</f>
        <v>자원봉사 활동</v>
      </c>
      <c r="C1101" s="1">
        <v>21005</v>
      </c>
      <c r="D1101" s="1">
        <v>1.5</v>
      </c>
      <c r="E1101" s="1" t="str">
        <f ca="1">IFERROR(__xludf.DUMMYFUNCTION("GOOGLETRANSLATE(E1101, ""en"", ""ko"")"),"앉아서 하는 일, 가벼운 사무 작업, 일반적으로")</f>
        <v>앉아서 하는 일, 가벼운 사무 작업, 일반적으로</v>
      </c>
      <c r="M1101" s="1"/>
      <c r="O1101" s="1"/>
    </row>
    <row r="1102" spans="1:15" ht="16.5" customHeight="1">
      <c r="A1102" s="1">
        <v>1100</v>
      </c>
      <c r="B1102" s="1" t="str">
        <f ca="1">IFERROR(__xludf.DUMMYFUNCTION("GOOGLETRANSLATE(B1102, ""en"", ""ko"")"),"자원봉사 활동")</f>
        <v>자원봉사 활동</v>
      </c>
      <c r="C1102" s="1">
        <v>21010</v>
      </c>
      <c r="D1102" s="1">
        <v>2.5</v>
      </c>
      <c r="E1102" s="1" t="str">
        <f ca="1">IFERROR(__xludf.DUMMYFUNCTION("GOOGLETRANSLATE(E1102, ""en"", ""ko"")"),"앉아서 적당한 작업")</f>
        <v>앉아서 적당한 작업</v>
      </c>
      <c r="M1102" s="1"/>
      <c r="O1102" s="1"/>
    </row>
    <row r="1103" spans="1:15" ht="16.5" customHeight="1">
      <c r="A1103" s="1">
        <v>1101</v>
      </c>
      <c r="B1103" s="1" t="str">
        <f ca="1">IFERROR(__xludf.DUMMYFUNCTION("GOOGLETRANSLATE(B1103, ""en"", ""ko"")"),"자원봉사 활동")</f>
        <v>자원봉사 활동</v>
      </c>
      <c r="C1103" s="1">
        <v>21015</v>
      </c>
      <c r="D1103" s="1">
        <v>1.8</v>
      </c>
      <c r="E1103" s="1" t="str">
        <f ca="1">IFERROR(__xludf.DUMMYFUNCTION("GOOGLETRANSLATE(E1103, ""en"", ""ko"")"),"서서 하는 가벼운 작업(채우기, 말하기, 조립)")</f>
        <v>서서 하는 가벼운 작업(채우기, 말하기, 조립)</v>
      </c>
      <c r="M1103" s="1"/>
      <c r="O1103" s="1"/>
    </row>
    <row r="1104" spans="1:15" ht="16.5" customHeight="1">
      <c r="A1104" s="1">
        <v>1102</v>
      </c>
      <c r="B1104" s="1" t="str">
        <f ca="1">IFERROR(__xludf.DUMMYFUNCTION("GOOGLETRANSLATE(B1104, ""en"", ""ko"")"),"자원봉사 활동")</f>
        <v>자원봉사 활동</v>
      </c>
      <c r="C1104" s="1">
        <v>21016</v>
      </c>
      <c r="D1104" s="1">
        <v>2</v>
      </c>
      <c r="E1104" s="1" t="str">
        <f ca="1">IFERROR(__xludf.DUMMYFUNCTION("GOOGLETRANSLATE(E1104, ""en"", ""ko"")"),"앉아 있음, 육아, 활동적인 기간만")</f>
        <v>앉아 있음, 육아, 활동적인 기간만</v>
      </c>
      <c r="M1104" s="1"/>
      <c r="O1104" s="1"/>
    </row>
    <row r="1105" spans="1:15" ht="16.5" customHeight="1">
      <c r="A1105" s="1">
        <v>1103</v>
      </c>
      <c r="B1105" s="1" t="str">
        <f ca="1">IFERROR(__xludf.DUMMYFUNCTION("GOOGLETRANSLATE(B1105, ""en"", ""ko"")"),"자원봉사 활동")</f>
        <v>자원봉사 활동</v>
      </c>
      <c r="C1105" s="1">
        <v>21017</v>
      </c>
      <c r="D1105" s="1">
        <v>3.5</v>
      </c>
      <c r="E1105" s="1" t="str">
        <f ca="1">IFERROR(__xludf.DUMMYFUNCTION("GOOGLETRANSLATE(E1105, ""en"", ""ko"")"),"서 있음, 육아, 활동적인 기간만 있음")</f>
        <v>서 있음, 육아, 활동적인 기간만 있음</v>
      </c>
      <c r="M1105" s="1"/>
      <c r="O1105" s="1"/>
    </row>
    <row r="1106" spans="1:15" ht="16.5" customHeight="1">
      <c r="A1106" s="1">
        <v>1104</v>
      </c>
      <c r="B1106" s="1" t="str">
        <f ca="1">IFERROR(__xludf.DUMMYFUNCTION("GOOGLETRANSLATE(B1106, ""en"", ""ko"")"),"자원봉사 활동")</f>
        <v>자원봉사 활동</v>
      </c>
      <c r="C1106" s="1">
        <v>21018</v>
      </c>
      <c r="D1106" s="1">
        <v>3.5</v>
      </c>
      <c r="E1106" s="1" t="str">
        <f ca="1">IFERROR(__xludf.DUMMYFUNCTION("GOOGLETRANSLATE(E1106, ""en"", ""ko"")"),"아이들과 함께 걷기/달리기 놀이, 중간, 활동적인 기간만")</f>
        <v>아이들과 함께 걷기/달리기 놀이, 중간, 활동적인 기간만</v>
      </c>
      <c r="M1106" s="1"/>
      <c r="O1106" s="1"/>
    </row>
    <row r="1107" spans="1:15" ht="16.5" customHeight="1">
      <c r="A1107" s="1">
        <v>1105</v>
      </c>
      <c r="B1107" s="1" t="str">
        <f ca="1">IFERROR(__xludf.DUMMYFUNCTION("GOOGLETRANSLATE(B1107, ""en"", ""ko"")"),"자원봉사 활동")</f>
        <v>자원봉사 활동</v>
      </c>
      <c r="C1107" s="1">
        <v>21019</v>
      </c>
      <c r="D1107" s="1">
        <v>5.8</v>
      </c>
      <c r="E1107" s="1" t="str">
        <f ca="1">IFERROR(__xludf.DUMMYFUNCTION("GOOGLETRANSLATE(E1107, ""en"", ""ko"")"),"아이들과 함께 걷기/달리기 놀이, 활발한 활동 기간만 가능")</f>
        <v>아이들과 함께 걷기/달리기 놀이, 활발한 활동 기간만 가능</v>
      </c>
      <c r="M1107" s="1"/>
      <c r="O1107" s="1"/>
    </row>
    <row r="1108" spans="1:15" ht="16.5" customHeight="1">
      <c r="A1108" s="1">
        <v>1106</v>
      </c>
      <c r="B1108" s="1" t="str">
        <f ca="1">IFERROR(__xludf.DUMMYFUNCTION("GOOGLETRANSLATE(B1108, ""en"", ""ko"")"),"자원봉사 활동")</f>
        <v>자원봉사 활동</v>
      </c>
      <c r="C1108" s="1">
        <v>21020</v>
      </c>
      <c r="D1108" s="1">
        <v>3.3</v>
      </c>
      <c r="E1108" s="1" t="str">
        <f ca="1">IFERROR(__xludf.DUMMYFUNCTION("GOOGLETRANSLATE(E1108, ""en"", ""ko"")"),"서서 하는 가벼운/중간 강도의 작업(예: 상자 포장, 조립/수리, 의자/가구 설치)")</f>
        <v>서서 하는 가벼운/중간 강도의 작업(예: 상자 포장, 조립/수리, 의자/가구 설치)</v>
      </c>
      <c r="M1108" s="1"/>
      <c r="O1108" s="1"/>
    </row>
    <row r="1109" spans="1:15" ht="16.5" customHeight="1">
      <c r="A1109" s="1">
        <v>1107</v>
      </c>
      <c r="B1109" s="1" t="str">
        <f ca="1">IFERROR(__xludf.DUMMYFUNCTION("GOOGLETRANSLATE(B1109, ""en"", ""ko"")"),"자원봉사 활동")</f>
        <v>자원봉사 활동</v>
      </c>
      <c r="C1109" s="1">
        <v>21025</v>
      </c>
      <c r="D1109" s="1">
        <v>3.5</v>
      </c>
      <c r="E1109" s="1" t="str">
        <f ca="1">IFERROR(__xludf.DUMMYFUNCTION("GOOGLETRANSLATE(E1109, ""en"", ""ko"")"),"서서, 중간 정도 (예: 50poud 들어올리기, 빠른 속도로 조립)")</f>
        <v>서서, 중간 정도 (예: 50poud 들어올리기, 빠른 속도로 조립)</v>
      </c>
      <c r="M1109" s="1"/>
      <c r="O1109" s="1"/>
    </row>
    <row r="1110" spans="1:15" ht="16.5" customHeight="1">
      <c r="A1110" s="1">
        <v>1108</v>
      </c>
      <c r="B1110" s="1" t="str">
        <f ca="1">IFERROR(__xludf.DUMMYFUNCTION("GOOGLETRANSLATE(B1110, ""en"", ""ko"")"),"자원봉사 활동")</f>
        <v>자원봉사 활동</v>
      </c>
      <c r="C1110" s="1">
        <v>21030</v>
      </c>
      <c r="D1110" s="1">
        <v>4.5</v>
      </c>
      <c r="E1110" s="1" t="str">
        <f ca="1">IFERROR(__xludf.DUMMYFUNCTION("GOOGLETRANSLATE(E1110, ""en"", ""ko"")"),"서서 하는 중간/중간 강도 작업")</f>
        <v>서서 하는 중간/중간 강도 작업</v>
      </c>
      <c r="M1110" s="1"/>
      <c r="O1110" s="1"/>
    </row>
    <row r="1111" spans="1:15" ht="16.5" customHeight="1">
      <c r="A1111" s="1">
        <v>1109</v>
      </c>
      <c r="B1111" s="1" t="str">
        <f ca="1">IFERROR(__xludf.DUMMYFUNCTION("GOOGLETRANSLATE(B1111, ""en"", ""ko"")"),"자원봉사 활동")</f>
        <v>자원봉사 활동</v>
      </c>
      <c r="C1111" s="1">
        <v>21035</v>
      </c>
      <c r="D1111" s="1">
        <v>1.3</v>
      </c>
      <c r="E1111" s="1" t="str">
        <f ca="1">IFERROR(__xludf.DUMMYFUNCTION("GOOGLETRANSLATE(E1111, ""en"", ""ko"")"),"타이핑, 전기, 수동 또는 컴퓨터")</f>
        <v>타이핑, 전기, 수동 또는 컴퓨터</v>
      </c>
      <c r="M1111" s="1"/>
      <c r="O1111" s="1"/>
    </row>
    <row r="1112" spans="1:15" ht="16.5" customHeight="1">
      <c r="A1112" s="1">
        <v>1110</v>
      </c>
      <c r="B1112" s="1" t="str">
        <f ca="1">IFERROR(__xludf.DUMMYFUNCTION("GOOGLETRANSLATE(B1112, ""en"", ""ko"")"),"자원봉사 활동")</f>
        <v>자원봉사 활동</v>
      </c>
      <c r="C1112" s="1">
        <v>21040</v>
      </c>
      <c r="D1112" s="1">
        <v>2.2999999999999998</v>
      </c>
      <c r="E1112" s="1" t="str">
        <f ca="1">IFERROR(__xludf.DUMMYFUNCTION("GOOGLETRANSLATE(E1112, ""en"", ""ko"")"),"걷기, 시속 2.0mile 미만, 매우 느림")</f>
        <v>걷기, 시속 2.0mile 미만, 매우 느림</v>
      </c>
      <c r="M1112" s="1"/>
      <c r="O1112" s="1"/>
    </row>
    <row r="1113" spans="1:15" ht="16.5" customHeight="1">
      <c r="A1113" s="1">
        <v>1111</v>
      </c>
      <c r="B1113" s="1" t="str">
        <f ca="1">IFERROR(__xludf.DUMMYFUNCTION("GOOGLETRANSLATE(B1113, ""en"", ""ko"")"),"자원봉사 활동")</f>
        <v>자원봉사 활동</v>
      </c>
      <c r="C1113" s="1">
        <v>21045</v>
      </c>
      <c r="D1113" s="1">
        <v>3.8</v>
      </c>
      <c r="E1113" s="1" t="str">
        <f ca="1">IFERROR(__xludf.DUMMYFUNCTION("GOOGLETRANSLATE(E1113, ""en"", ""ko"")"),"걷기, 시속 2.8~3.4mile, 중간 속도, 아무것도 가지고 있지 않음")</f>
        <v>걷기, 시속 2.8~3.4mile, 중간 속도, 아무것도 가지고 있지 않음</v>
      </c>
      <c r="M1113" s="1"/>
      <c r="O1113" s="1"/>
    </row>
    <row r="1114" spans="1:15" ht="16.5" customHeight="1">
      <c r="A1114" s="1">
        <v>1112</v>
      </c>
      <c r="B1114" s="1" t="str">
        <f ca="1">IFERROR(__xludf.DUMMYFUNCTION("GOOGLETRANSLATE(B1114, ""en"", ""ko"")"),"자원봉사 활동")</f>
        <v>자원봉사 활동</v>
      </c>
      <c r="C1114" s="1">
        <v>21050</v>
      </c>
      <c r="D1114" s="1">
        <v>4.8</v>
      </c>
      <c r="E1114" s="1" t="str">
        <f ca="1">IFERROR(__xludf.DUMMYFUNCTION("GOOGLETRANSLATE(E1114, ""en"", ""ko"")"),"걷기, 시속 3.5~3.9mile, 빠른 속도, 아무것도 들고 있지 않음")</f>
        <v>걷기, 시속 3.5~3.9mile, 빠른 속도, 아무것도 들고 있지 않음</v>
      </c>
      <c r="M1114" s="1"/>
      <c r="O1114" s="1"/>
    </row>
    <row r="1115" spans="1:15" ht="16.5" customHeight="1">
      <c r="A1115" s="1">
        <v>1113</v>
      </c>
      <c r="B1115" s="1" t="str">
        <f ca="1">IFERROR(__xludf.DUMMYFUNCTION("GOOGLETRANSLATE(B1115, ""en"", ""ko"")"),"자원봉사 활동")</f>
        <v>자원봉사 활동</v>
      </c>
      <c r="C1115" s="1">
        <v>21055</v>
      </c>
      <c r="D1115" s="1">
        <v>3.5</v>
      </c>
      <c r="E1115" s="1" t="str">
        <f ca="1">IFERROR(__xludf.DUMMYFUNCTION("GOOGLETRANSLATE(E1115, ""en"", ""ko"")"),"걷기, 시속 2.5mile의 속도로 천천히 걷고 25poud 이하의 물건을 들고 다닙니다.")</f>
        <v>걷기, 시속 2.5mile의 속도로 천천히 걷고 25poud 이하의 물건을 들고 다닙니다.</v>
      </c>
      <c r="M1115" s="1"/>
      <c r="O1115" s="1"/>
    </row>
    <row r="1116" spans="1:15" ht="16.5" customHeight="1">
      <c r="A1116" s="1">
        <v>1114</v>
      </c>
      <c r="B1116" s="1" t="str">
        <f ca="1">IFERROR(__xludf.DUMMYFUNCTION("GOOGLETRANSLATE(B1116, ""en"", ""ko"")"),"자원봉사 활동")</f>
        <v>자원봉사 활동</v>
      </c>
      <c r="C1116" s="1">
        <v>21060</v>
      </c>
      <c r="D1116" s="1">
        <v>4.5</v>
      </c>
      <c r="E1116" s="1" t="str">
        <f ca="1">IFERROR(__xludf.DUMMYFUNCTION("GOOGLETRANSLATE(E1116, ""en"", ""ko"")"),"걷기, 중간 속도로 3.0mph, 25poud 미만의 물건을 들고 다니며 무언가를 밀고 있습니다.")</f>
        <v>걷기, 중간 속도로 3.0mph, 25poud 미만의 물건을 들고 다니며 무언가를 밀고 있습니다.</v>
      </c>
      <c r="M1116" s="1"/>
      <c r="O1116" s="1"/>
    </row>
    <row r="1117" spans="1:15" ht="16.5" customHeight="1">
      <c r="A1117" s="1">
        <v>1115</v>
      </c>
      <c r="B1117" s="1" t="str">
        <f ca="1">IFERROR(__xludf.DUMMYFUNCTION("GOOGLETRANSLATE(B1117, ""en"", ""ko"")"),"자원봉사 활동")</f>
        <v>자원봉사 활동</v>
      </c>
      <c r="C1117" s="1">
        <v>21065</v>
      </c>
      <c r="D1117" s="1">
        <v>4.5</v>
      </c>
      <c r="E1117" s="1" t="str">
        <f ca="1">IFERROR(__xludf.DUMMYFUNCTION("GOOGLETRANSLATE(E1117, ""en"", ""ko"")"),"걷기, 시속 3.5mile, 빠른 속도로, 25poud 미만의 물건을 들고")</f>
        <v>걷기, 시속 3.5mile, 빠른 속도로, 25poud 미만의 물건을 들고</v>
      </c>
      <c r="M1117" s="1"/>
      <c r="O1117" s="1"/>
    </row>
    <row r="1118" spans="1:15" ht="16.5" customHeight="1">
      <c r="A1118" s="1">
        <v>1116</v>
      </c>
      <c r="B1118" s="1" t="str">
        <f ca="1">IFERROR(__xludf.DUMMYFUNCTION("GOOGLETRANSLATE(B1118, ""en"", ""ko"")"),"자원봉사 활동")</f>
        <v>자원봉사 활동</v>
      </c>
      <c r="C1118" s="1">
        <v>21070</v>
      </c>
      <c r="D1118" s="1">
        <v>3</v>
      </c>
      <c r="E1118" s="1" t="str">
        <f ca="1">IFERROR(__xludf.DUMMYFUNCTION("GOOGLETRANSLATE(E1118, ""en"", ""ko"")"),"자원봉사 목적을 위한 걷기/서기 조합")</f>
        <v>자원봉사 목적을 위한 걷기/서기 조합</v>
      </c>
      <c r="M1118" s="1"/>
      <c r="O1118" s="1"/>
    </row>
    <row r="1119" spans="1:15" ht="16.5" customHeight="1">
      <c r="A1119" s="1">
        <v>1117</v>
      </c>
      <c r="B1119" s="1" t="str">
        <f ca="1">IFERROR(__xludf.DUMMYFUNCTION("GOOGLETRANSLATE(B1119, ""en"", ""ko"")"),"비디오 게임")</f>
        <v>비디오 게임</v>
      </c>
      <c r="C1119" s="1">
        <v>22040</v>
      </c>
      <c r="D1119" s="1">
        <v>1.3</v>
      </c>
      <c r="E1119" s="1" t="str">
        <f ca="1">IFERROR(__xludf.DUMMYFUNCTION("GOOGLETRANSLATE(E1119, ""en"", ""ko"")"),"앉아서 비디오 게임, 핸드헬드 컨트롤러(비활성)")</f>
        <v>앉아서 비디오 게임, 핸드헬드 컨트롤러(비활성)</v>
      </c>
      <c r="M1119" s="1"/>
      <c r="O1119" s="1"/>
    </row>
    <row r="1120" spans="1:15" ht="16.5" customHeight="1">
      <c r="A1120" s="1">
        <v>1118</v>
      </c>
      <c r="B1120" s="1" t="str">
        <f ca="1">IFERROR(__xludf.DUMMYFUNCTION("GOOGLETRANSLATE(B1120, ""en"", ""ko"")"),"비디오 게임")</f>
        <v>비디오 게임</v>
      </c>
      <c r="C1120" s="1">
        <v>22120</v>
      </c>
      <c r="D1120" s="1">
        <v>1.5</v>
      </c>
      <c r="E1120" s="1" t="str">
        <f ca="1">IFERROR(__xludf.DUMMYFUNCTION("GOOGLETRANSLATE(E1120, ""en"", ""ko"")"),"비디오 게임, 핸드헬드 컨트롤러(가벼운 노력)")</f>
        <v>비디오 게임, 핸드헬드 컨트롤러(가벼운 노력)</v>
      </c>
      <c r="M1120" s="1"/>
      <c r="O1120" s="1"/>
    </row>
    <row r="1121" spans="1:15" ht="16.5" customHeight="1">
      <c r="A1121" s="1">
        <v>1119</v>
      </c>
      <c r="B1121" s="1" t="str">
        <f ca="1">IFERROR(__xludf.DUMMYFUNCTION("GOOGLETRANSLATE(B1121, ""en"", ""ko"")"),"비디오 게임")</f>
        <v>비디오 게임</v>
      </c>
      <c r="C1121" s="1">
        <v>22160</v>
      </c>
      <c r="D1121" s="1">
        <v>2.2999999999999998</v>
      </c>
      <c r="E1121" s="1" t="str">
        <f ca="1">IFERROR(__xludf.DUMMYFUNCTION("GOOGLETRANSLATE(E1121, ""en"", ""ko"")"),"비디오 게임, 가벼운 운동(Wii Fit, 요가, 볼링 등)")</f>
        <v>비디오 게임, 가벼운 운동(Wii Fit, 요가, 볼링 등)</v>
      </c>
      <c r="M1121" s="1"/>
      <c r="O1121" s="1"/>
    </row>
    <row r="1122" spans="1:15" ht="16.5" customHeight="1">
      <c r="A1122" s="1">
        <v>1120</v>
      </c>
      <c r="B1122" s="1" t="str">
        <f ca="1">IFERROR(__xludf.DUMMYFUNCTION("GOOGLETRANSLATE(B1122, ""en"", ""ko"")"),"비디오 게임")</f>
        <v>비디오 게임</v>
      </c>
      <c r="C1122" s="1">
        <v>22200</v>
      </c>
      <c r="D1122" s="1">
        <v>3</v>
      </c>
      <c r="E1122" s="1" t="str">
        <f ca="1">IFERROR(__xludf.DUMMYFUNCTION("GOOGLETRANSLATE(E1122, ""en"", ""ko"")"),"활동적인 비디오 게임, 동작 감지 게임/상체 사용(가볍거나 중간 정도의 노력)")</f>
        <v>활동적인 비디오 게임, 동작 감지 게임/상체 사용(가볍거나 중간 정도의 노력)</v>
      </c>
      <c r="M1122" s="1"/>
      <c r="O1122" s="1"/>
    </row>
    <row r="1123" spans="1:15" ht="16.5" customHeight="1">
      <c r="A1123" s="1">
        <v>1121</v>
      </c>
      <c r="B1123" s="1" t="str">
        <f ca="1">IFERROR(__xludf.DUMMYFUNCTION("GOOGLETRANSLATE(B1123, ""en"", ""ko"")"),"비디오 게임")</f>
        <v>비디오 게임</v>
      </c>
      <c r="C1123" s="1">
        <v>22240</v>
      </c>
      <c r="D1123" s="1">
        <v>4</v>
      </c>
      <c r="E1123" s="1" t="str">
        <f ca="1">IFERROR(__xludf.DUMMYFUNCTION("GOOGLETRANSLATE(E1123, ""en"", ""ko"")"),"활동적인 비디오 게임, 동작 감지 게임/전신을 이용한 게임(중간 강도의 노력)")</f>
        <v>활동적인 비디오 게임, 동작 감지 게임/전신을 이용한 게임(중간 강도의 노력)</v>
      </c>
      <c r="M1123" s="1"/>
      <c r="O1123" s="1"/>
    </row>
    <row r="1124" spans="1:15" ht="16.5" customHeight="1">
      <c r="A1124" s="1">
        <v>1122</v>
      </c>
      <c r="B1124" s="1" t="str">
        <f ca="1">IFERROR(__xludf.DUMMYFUNCTION("GOOGLETRANSLATE(B1124, ""en"", ""ko"")"),"비디오 게임")</f>
        <v>비디오 게임</v>
      </c>
      <c r="C1124" s="1">
        <v>22280</v>
      </c>
      <c r="D1124" s="1">
        <v>5</v>
      </c>
      <c r="E1124" s="1" t="str">
        <f ca="1">IFERROR(__xludf.DUMMYFUNCTION("GOOGLETRANSLATE(E1124, ""en"", ""ko"")"),"활동적인 비디오 게임, 동작 감지 게임/전신 사용(중간~강력한 노력)")</f>
        <v>활동적인 비디오 게임, 동작 감지 게임/전신 사용(중간~강력한 노력)</v>
      </c>
      <c r="M1124" s="1"/>
      <c r="O1124" s="1"/>
    </row>
    <row r="1125" spans="1:15" ht="16.5" customHeight="1">
      <c r="A1125" s="1">
        <v>1123</v>
      </c>
      <c r="B1125" s="1" t="str">
        <f ca="1">IFERROR(__xludf.DUMMYFUNCTION("GOOGLETRANSLATE(B1125, ""en"", ""ko"")"),"비디오 게임")</f>
        <v>비디오 게임</v>
      </c>
      <c r="C1125" s="1">
        <v>22320</v>
      </c>
      <c r="D1125" s="1">
        <v>7.5</v>
      </c>
      <c r="E1125" s="1" t="str">
        <f ca="1">IFERROR(__xludf.DUMMYFUNCTION("GOOGLETRANSLATE(E1125, ""en"", ""ko"")"),"활동적인 비디오 게임, 동작 감지 게임/전신 사용, 엑서게임, 운동, 댄스(격렬한 노력)")</f>
        <v>활동적인 비디오 게임, 동작 감지 게임/전신 사용, 엑서게임, 운동, 댄스(격렬한 노력)</v>
      </c>
      <c r="M1125" s="1"/>
      <c r="O1125" s="1"/>
    </row>
    <row r="1126" spans="1:15" ht="16.5" customHeight="1">
      <c r="A1126" s="1">
        <v>1124</v>
      </c>
      <c r="B1126" s="1" t="str">
        <f ca="1">IFERROR(__xludf.DUMMYFUNCTION("GOOGLETRANSLATE(B1126, ""en"", ""ko"")"),"비디오 게임")</f>
        <v>비디오 게임</v>
      </c>
      <c r="C1126" s="1">
        <v>22360</v>
      </c>
      <c r="D1126" s="1">
        <v>9.8000000000000007</v>
      </c>
      <c r="E1126" s="1" t="str">
        <f ca="1">IFERROR(__xludf.DUMMYFUNCTION("GOOGLETRANSLATE(E1126, ""en"", ""ko"")"),"컨디셔닝/가상현실 피트니스 운동, 강렬한 강도")</f>
        <v>컨디셔닝/가상현실 피트니스 운동, 강렬한 강도</v>
      </c>
      <c r="M1126" s="1"/>
      <c r="O1126" s="1"/>
    </row>
  </sheetData>
  <phoneticPr fontId="2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met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SSAFY</dc:creator>
  <cp:lastModifiedBy>SSAFY</cp:lastModifiedBy>
  <dcterms:created xsi:type="dcterms:W3CDTF">2025-11-10T23:49:20Z</dcterms:created>
  <dcterms:modified xsi:type="dcterms:W3CDTF">2025-11-11T01:24:08Z</dcterms:modified>
</cp:coreProperties>
</file>